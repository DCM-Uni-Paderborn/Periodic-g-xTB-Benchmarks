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93131081b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be28064c9f4899"/>
    <x:sheet xmlns:r="http://schemas.openxmlformats.org/officeDocument/2006/relationships" name="Branch statistics" sheetId="2" r:id="R19074c89ad274ecd"/>
    <x:sheet xmlns:r="http://schemas.openxmlformats.org/officeDocument/2006/relationships" name="Relative energies" sheetId="3" r:id="R28b99a65c7c64fed"/>
    <x:sheet xmlns:r="http://schemas.openxmlformats.org/officeDocument/2006/relationships" name="Branch differences" sheetId="4" r:id="Rc54c27faba284aae"/>
    <x:sheet xmlns:r="http://schemas.openxmlformats.org/officeDocument/2006/relationships" name="Absolute parity" sheetId="5" r:id="Rf7071fc64d1445b0"/>
    <x:sheet xmlns:r="http://schemas.openxmlformats.org/officeDocument/2006/relationships" name="Native meshes" sheetId="6" r:id="R4de1317794b244e5"/>
    <x:sheet xmlns:r="http://schemas.openxmlformats.org/officeDocument/2006/relationships" name="Mstore absolute" sheetId="7" r:id="R4b23f8a383e84758"/>
    <x:sheet xmlns:r="http://schemas.openxmlformats.org/officeDocument/2006/relationships" name="References" sheetId="8" r:id="Re9f51ea73f9f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E+00"/>
    <x:numFmt numFmtId="201" formatCode="0"/>
    <x:numFmt numFmtId="202" formatCode="0.0000"/>
    <x:numFmt numFmtId="203" formatCode="0.0000000000000"/>
    <x:numFmt numFmtId="204" formatCode="0.000000E+00"/>
    <x:numFmt numFmtId="205" formatCode="0.000000"/>
    <x:numFmt numFmtId="206" formatCode="0.000000000000E+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0F766E"/>
      </x:patternFill>
    </x:fill>
    <x:fill>
      <x:patternFill patternType="solid">
        <x:fgColor rgb="FFF4B183"/>
      </x:patternFill>
    </x:fill>
  </x:fills>
  <x:borders count="1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2" borderId="10" xfId="0" applyNumberFormat="1" applyFont="1" applyFill="1" applyBorder="1" applyAlignment="1">
      <x:alignment vertical="center"/>
    </x:xf>
    <x:xf numFmtId="0" fontId="3" fillId="2" borderId="10" xfId="0" applyNumberFormat="1" applyFont="1" applyFill="1" applyBorder="1" applyAlignment="1">
      <x:alignment vertical="center"/>
    </x:xf>
    <x:xf numFmtId="0" fontId="3" fillId="2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/>
    </x:xf>
    <x:xf numFmtId="205" fontId="0" fillId="0" borderId="10" xfId="0" applyNumberFormat="1" applyFont="1" applyFill="1" applyBorder="1" applyAlignment="1">
      <x:alignment vertical="center"/>
    </x:xf>
    <x:xf numFmtId="206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bda9ba0804a46" /><Relationship Type="http://schemas.openxmlformats.org/officeDocument/2006/relationships/theme" Target="/xl/theme/theme1.xml" Id="R2257dce386dd4a4c" /><Relationship Type="http://schemas.openxmlformats.org/officeDocument/2006/relationships/sharedStrings" Target="/xl/sharedStrings.xml" Id="R9edabd3d1ff94aef" /><Relationship Type="http://schemas.openxmlformats.org/officeDocument/2006/relationships/worksheet" Target="/xl/worksheets/sheet1.xml" Id="Reabe28064c9f4899" /><Relationship Type="http://schemas.openxmlformats.org/officeDocument/2006/relationships/worksheet" Target="/xl/worksheets/sheet2.xml" Id="R19074c89ad274ecd" /><Relationship Type="http://schemas.openxmlformats.org/officeDocument/2006/relationships/worksheet" Target="/xl/worksheets/sheet3.xml" Id="R28b99a65c7c64fed" /><Relationship Type="http://schemas.openxmlformats.org/officeDocument/2006/relationships/worksheet" Target="/xl/worksheets/sheet4.xml" Id="Rc54c27faba284aae" /><Relationship Type="http://schemas.openxmlformats.org/officeDocument/2006/relationships/worksheet" Target="/xl/worksheets/sheet5.xml" Id="Rf7071fc64d1445b0" /><Relationship Type="http://schemas.openxmlformats.org/officeDocument/2006/relationships/worksheet" Target="/xl/worksheets/sheet6.xml" Id="R4de1317794b244e5" /><Relationship Type="http://schemas.openxmlformats.org/officeDocument/2006/relationships/worksheet" Target="/xl/worksheets/sheet7.xml" Id="R4b23f8a383e84758" /><Relationship Type="http://schemas.openxmlformats.org/officeDocument/2006/relationships/worksheet" Target="/xl/worksheets/sheet8.xml" Id="Re9f51ea73f9f44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8f9dcc45974e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Low-mesh DMC-ICE13 branch comparison</a:t>
            </a:r>
          </a:p>
        </c:rich>
      </c:tx>
    </c:title>
    <c:plotArea>
      <c:lineChart>
        <c:grouping val="standard"/>
        <c:ser>
          <c:idx val="0"/>
          <c:order val="0"/>
          <c:tx>
            <c:v>CP2K-native</c:v>
          </c:tx>
          <c:marker>
            <c:symbol val="none"/>
          </c:marker>
          <c:cat>
            <c:strRef>
              <c:f>'Summary'!$A$13:$A$14</c:f>
              <c:strCache>
                <c:ptCount val="0"/>
              </c:strCache>
            </c:strRef>
          </c:cat>
          <c:val>
            <c:numRef>
              <c:f>'Summary'!$B$13:$B$14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current pbc CLI</c:v>
          </c:tx>
          <c:marker>
            <c:symbol val="none"/>
          </c:marker>
          <c:cat>
            <c:strRef>
              <c:f>'Summary'!$A$13:$A$14</c:f>
              <c:strCache>
                <c:ptCount val="0"/>
              </c:strCache>
            </c:strRef>
          </c:cat>
          <c:val>
            <c:numRef>
              <c:f>'Summary'!$C$13:$C$14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author pbc</c:v>
          </c:tx>
          <c:marker>
            <c:symbol val="none"/>
          </c:marker>
          <c:cat>
            <c:strRef>
              <c:f>'Summary'!$A$13:$A$14</c:f>
              <c:strCache>
                <c:ptCount val="0"/>
              </c:strCache>
            </c:strRef>
          </c:cat>
          <c:val>
            <c:numRef>
              <c:f>'Summary'!$D$13:$D$14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mstore-inorganic</c:v>
          </c:tx>
          <c:marker>
            <c:symbol val="none"/>
          </c:marker>
          <c:cat>
            <c:strRef>
              <c:f>'Summary'!$A$13:$A$14</c:f>
              <c:strCache>
                <c:ptCount val="0"/>
              </c:strCache>
            </c:strRef>
          </c:cat>
          <c:val>
            <c:numRef>
              <c:f>'Summary'!$E$13:$E$14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mesh n in n x n x n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MAE (kJ mol-1 H2O-1)</a:t>
                </a:r>
              </a:p>
            </c:rich>
          </c:tx>
        </c:title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8f9dcc45974e9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b42972e9f043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0" max="10" width="13" hidden="0" customWidth="1"/>
    <x:col min="11" max="11" width="24" hidden="0" customWidth="1"/>
    <x:col min="13" max="13" width="22" hidden="0" customWidth="1"/>
    <x:col min="1" max="1" width="5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4" t="str">
        <x:v>DMC-ICE13 branch and CP2K-native comparison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7" t="str">
        <x:v>Independent diagnostic package: historical mstore-inorganic, author pbc, current pbc CLI, and CP2K-native Bloch k points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>
      <x:c r="A5" s="10" t="str">
        <x:v>Validated numerical check</x:v>
      </x:c>
      <x:c r="B5" s="10" t="str">
        <x:v>Result</x:v>
      </x:c>
    </x:row>
    <x:row r="6">
      <x:c r="A6" s="11" t="str">
        <x:v>Maximum |CP2K-native - current pbc CLI| across 1^3-4^3 (Ha/primitive)</x:v>
      </x:c>
      <x:c r="B6" s="12" t="n">
        <x:f>MAX(MAX('Absolute parity'!F2:F53),-MIN('Absolute parity'!F2:F53))</x:f>
        <x:v>1.11525309876e-7</x:v>
      </x:c>
    </x:row>
    <x:row r="7">
      <x:c r="A7" s="11" t="str">
        <x:v>Maximum |CP2K-native - current pbc CLI| at 3^3 (Ha/primitive)</x:v>
      </x:c>
      <x:c r="B7" s="12" t="n">
        <x:f>MAX(MAX('Absolute parity'!F28:F40),-MIN('Absolute parity'!F28:F40))</x:f>
        <x:v>1.024701532515e-7</x:v>
      </x:c>
    </x:row>
    <x:row r="8">
      <x:c r="A8" s="11" t="str">
        <x:v>Maximum relative-energy difference at 3^3 (kJ mol-1 H2O-1)</x:v>
      </x:c>
      <x:c r="B8" s="12" t="n">
        <x:f>MAX(K21:K32)</x:f>
        <x:v>0.000017055045592011068</x:v>
      </x:c>
    </x:row>
    <x:row r="9">
      <x:c r="A9" s="11" t="str">
        <x:v>CP2K native 2^3 vs explicit Gamma-BvK oracle (Ha/primitive)</x:v>
      </x:c>
      <x:c r="B9" s="12" t="n">
        <x:v>1.1255e-11</x:v>
      </x:c>
    </x:row>
    <x:row r="10">
      <x:c r="A10" s="11" t="str">
        <x:v>Complete absolute-parity points across 1^3-4^3</x:v>
      </x:c>
      <x:c r="B10" s="13" t="n">
        <x:f>COUNT('Absolute parity'!F2:F53)</x:f>
        <x:v>52</x:v>
      </x:c>
    </x:row>
    <x:row r="11">
      <x:c r="A11" s="11" t="str">
        <x:v>Interpretation</x:v>
      </x:c>
      <x:c r="B11" s="14" t="str">
        <x:v>Current pbc CLI and CP2K-native agree within numerical noise.</x:v>
      </x:c>
    </x:row>
    <x:row r="12">
      <x:c r="A12" s="16" t="str">
        <x:v>Mesh</x:v>
      </x:c>
      <x:c r="B12" s="16" t="str">
        <x:v>CP2K-native</x:v>
      </x:c>
      <x:c r="C12" s="16" t="str">
        <x:v>current pbc CLI</x:v>
      </x:c>
      <x:c r="D12" s="16" t="str">
        <x:v>author pbc</x:v>
      </x:c>
      <x:c r="E12" s="16" t="str">
        <x:v>mstore-inorganic</x:v>
      </x:c>
    </x:row>
    <x:row r="13">
      <x:c r="A13" s="11" t="n">
        <x:v>2</x:v>
      </x:c>
      <x:c r="B13" s="17" t="str">
        <x:f>'Branch statistics'!E3</x:f>
        <x:v>88.681375103720</x:v>
      </x:c>
      <x:c r="C13" s="17" t="str">
        <x:f>'Branch statistics'!E10</x:f>
        <x:v>88.681375574198</x:v>
      </x:c>
      <x:c r="D13" s="17" t="str">
        <x:f>'Branch statistics'!E7</x:f>
        <x:v>88.706865721959</x:v>
      </x:c>
      <x:c r="E13" s="17" t="str">
        <x:f>'Branch statistics'!E13</x:f>
        <x:v>48.710763704892</x:v>
      </x:c>
    </x:row>
    <x:row r="14">
      <x:c r="A14" s="11" t="n">
        <x:v>3</x:v>
      </x:c>
      <x:c r="B14" s="17" t="str">
        <x:f>'Branch statistics'!E4</x:f>
        <x:v>34.048487494128</x:v>
      </x:c>
      <x:c r="C14" s="17" t="str">
        <x:f>'Branch statistics'!E11</x:f>
        <x:v>34.048491879836</x:v>
      </x:c>
      <x:c r="D14" s="17" t="str">
        <x:f>'Branch statistics'!E8</x:f>
        <x:v>34.070588090850</x:v>
      </x:c>
      <x:c r="E14" s="17" t="str">
        <x:f>'Branch statistics'!E14</x:f>
        <x:v>17.830623485072</x:v>
      </x:c>
    </x:row>
    <x:row r="20">
      <x:c r="A20" s="21" t="str">
        <x:v>How to read the result</x:v>
      </x:c>
      <x:c r="B20" s="22"/>
      <x:c r="C20" s="22"/>
      <x:c r="D20" s="22"/>
      <x:c r="E20" s="23"/>
      <x:c r="J20" s="33" t="str">
        <x:v>3^3 phase</x:v>
      </x:c>
      <x:c r="K20" s="33" t="str">
        <x:v>|native - CLI| (kJ mol-1 H2O-1)</x:v>
      </x:c>
      <x:c r="M20" s="31" t="str">
        <x:v>Hartree to kJ mol-1</x:v>
      </x:c>
    </x:row>
    <x:row r="21">
      <x:c r="A21" s="24" t="str">
        <x:v>1. Absolute parity isolates CP2K integration from model-revision effects.</x:v>
      </x:c>
      <x:c r="B21" s="20"/>
      <x:c r="C21" s="20"/>
      <x:c r="D21" s="20"/>
      <x:c r="E21" s="25"/>
      <x:c r="J21" s="11" t="str">
        <x:v>II</x:v>
      </x:c>
      <x:c r="K21" s="34" t="n">
        <x:f>ABS((('Absolute parity'!D29/'Absolute parity'!C29)-('Absolute parity'!D28/'Absolute parity'!C28))-(('Absolute parity'!E29/'Absolute parity'!C29)-('Absolute parity'!E28/'Absolute parity'!C28)))*$M$21</x:f>
        <x:v>0.000006231018428930053</x:v>
      </x:c>
      <x:c r="M21" s="32" t="n">
        <x:v>2625.4996394798254</x:v>
      </x:c>
    </x:row>
    <x:row r="22">
      <x:c r="A22" s="24" t="str">
        <x:v>2. Branch differences isolate mstore-inorganic from pbc at fixed inputs.</x:v>
      </x:c>
      <x:c r="B22" s="20"/>
      <x:c r="C22" s="20"/>
      <x:c r="D22" s="20"/>
      <x:c r="E22" s="25"/>
      <x:c r="J22" s="11" t="str">
        <x:v>III</x:v>
      </x:c>
      <x:c r="K22" s="34" t="n">
        <x:f>ABS((('Absolute parity'!D30/'Absolute parity'!C30)-('Absolute parity'!D28/'Absolute parity'!C28))-(('Absolute parity'!E30/'Absolute parity'!C30)-('Absolute parity'!E28/'Absolute parity'!C28)))*$M$21</x:f>
        <x:v>0.000006057598788336613</x:v>
      </x:c>
    </x:row>
    <x:row r="23">
      <x:c r="A23" s="24" t="str">
        <x:v>3. Relative energies always use ice Ih from the same mesh and method.</x:v>
      </x:c>
      <x:c r="B23" s="20"/>
      <x:c r="C23" s="20"/>
      <x:c r="D23" s="20"/>
      <x:c r="E23" s="25"/>
      <x:c r="J23" s="11" t="str">
        <x:v>IV</x:v>
      </x:c>
      <x:c r="K23" s="34" t="n">
        <x:f>ABS((('Absolute parity'!D31/'Absolute parity'!C31)-('Absolute parity'!D28/'Absolute parity'!C28))-(('Absolute parity'!E31/'Absolute parity'!C31)-('Absolute parity'!E28/'Absolute parity'!C28)))*$M$21</x:f>
        <x:v>0.00000595551700334013</x:v>
      </x:c>
    </x:row>
    <x:row r="24">
      <x:c r="A24" s="26" t="str">
        <x:v>4. Blank entries are incomplete runs and are excluded from statistics.</x:v>
      </x:c>
      <x:c r="B24" s="27"/>
      <x:c r="C24" s="27"/>
      <x:c r="D24" s="27"/>
      <x:c r="E24" s="28"/>
      <x:c r="J24" s="11" t="str">
        <x:v>VI</x:v>
      </x:c>
      <x:c r="K24" s="34" t="n">
        <x:f>ABS((('Absolute parity'!D32/'Absolute parity'!C32)-('Absolute parity'!D28/'Absolute parity'!C28))-(('Absolute parity'!E32/'Absolute parity'!C32)-('Absolute parity'!E28/'Absolute parity'!C28)))*$M$21</x:f>
        <x:v>0.000006335600023719944</x:v>
      </x:c>
    </x:row>
    <x:row r="25">
      <x:c r="J25" s="11" t="str">
        <x:v>VII</x:v>
      </x:c>
      <x:c r="K25" s="34" t="n">
        <x:f>ABS((('Absolute parity'!D33/'Absolute parity'!C33)-('Absolute parity'!D28/'Absolute parity'!C28))-(('Absolute parity'!E33/'Absolute parity'!C33)-('Absolute parity'!E28/'Absolute parity'!C28)))*$M$21</x:f>
        <x:v>0.000017055045592011068</x:v>
      </x:c>
    </x:row>
    <x:row r="26">
      <x:c r="J26" s="11" t="str">
        <x:v>VIII</x:v>
      </x:c>
      <x:c r="K26" s="34" t="n">
        <x:f>ABS((('Absolute parity'!D34/'Absolute parity'!C34)-('Absolute parity'!D28/'Absolute parity'!C28))-(('Absolute parity'!E34/'Absolute parity'!C34)-('Absolute parity'!E28/'Absolute parity'!C28)))*$M$21</x:f>
        <x:v>0.000006929248883763453</x:v>
      </x:c>
    </x:row>
    <x:row r="27">
      <x:c r="J27" s="11" t="str">
        <x:v>IX</x:v>
      </x:c>
      <x:c r="K27" s="34" t="n">
        <x:f>ABS((('Absolute parity'!D35/'Absolute parity'!C35)-('Absolute parity'!D28/'Absolute parity'!C28))-(('Absolute parity'!E35/'Absolute parity'!C35)-('Absolute parity'!E28/'Absolute parity'!C28)))*$M$21</x:f>
        <x:v>0.000005336944666550404</x:v>
      </x:c>
    </x:row>
    <x:row r="28">
      <x:c r="J28" s="11" t="str">
        <x:v>XI</x:v>
      </x:c>
      <x:c r="K28" s="34" t="n">
        <x:f>ABS((('Absolute parity'!D36/'Absolute parity'!C36)-('Absolute parity'!D28/'Absolute parity'!C28))-(('Absolute parity'!E36/'Absolute parity'!C36)-('Absolute parity'!E28/'Absolute parity'!C28)))*$M$21</x:f>
        <x:v>0.000006987901137423712</x:v>
      </x:c>
    </x:row>
    <x:row r="29">
      <x:c r="J29" s="11" t="str">
        <x:v>XIII</x:v>
      </x:c>
      <x:c r="K29" s="34" t="n">
        <x:f>ABS((('Absolute parity'!D37/'Absolute parity'!C37)-('Absolute parity'!D28/'Absolute parity'!C28))-(('Absolute parity'!E37/'Absolute parity'!C37)-('Absolute parity'!E28/'Absolute parity'!C28)))*$M$21</x:f>
        <x:v>0.000006027377207252128</x:v>
      </x:c>
    </x:row>
    <x:row r="30">
      <x:c r="J30" s="11" t="str">
        <x:v>XIV</x:v>
      </x:c>
      <x:c r="K30" s="34" t="n">
        <x:f>ABS((('Absolute parity'!D38/'Absolute parity'!C38)-('Absolute parity'!D28/'Absolute parity'!C28))-(('Absolute parity'!E38/'Absolute parity'!C38)-('Absolute parity'!E28/'Absolute parity'!C28)))*$M$21</x:f>
        <x:v>0.0000072724317267450495</x:v>
      </x:c>
    </x:row>
    <x:row r="31">
      <x:c r="J31" s="11" t="str">
        <x:v>XV</x:v>
      </x:c>
      <x:c r="K31" s="34" t="n">
        <x:f>ABS((('Absolute parity'!D39/'Absolute parity'!C39)-('Absolute parity'!D28/'Absolute parity'!C28))-(('Absolute parity'!E39/'Absolute parity'!C39)-('Absolute parity'!E28/'Absolute parity'!C28)))*$M$21</x:f>
        <x:v>0.000006332652486799359</x:v>
      </x:c>
    </x:row>
    <x:row r="32">
      <x:c r="J32" s="11" t="str">
        <x:v>XVII</x:v>
      </x:c>
      <x:c r="K32" s="34" t="n">
        <x:f>ABS((('Absolute parity'!D40/'Absolute parity'!C40)-('Absolute parity'!D28/'Absolute parity'!C28))-(('Absolute parity'!E40/'Absolute parity'!C40)-('Absolute parity'!E28/'Absolute parity'!C28)))*$M$21</x:f>
        <x:v>0.000006217250819769343</x:v>
      </x:c>
    </x:row>
  </x:sheetData>
  <x:mergeCells>
    <x:mergeCell ref="A1:N1"/>
    <x:mergeCell ref="A3:N3"/>
    <x:mergeCell ref="A20:E20"/>
    <x:mergeCell ref="A21:E21"/>
    <x:mergeCell ref="A22:E22"/>
    <x:mergeCell ref="A23:E23"/>
    <x:mergeCell ref="A24:E24"/>
  </x:mergeCells>
  <x:pageMargins left="0.7" right="0.7" top="0.75" bottom="0.75" header="0.3" footer="0.3"/>
  <x:drawing xmlns:r="http://schemas.openxmlformats.org/officeDocument/2006/relationships" r:id="R5fb42972e9f043d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" hidden="0" customWidth="1"/>
    <x:col min="3" max="3" width="11" hidden="0" customWidth="1"/>
    <x:col min="4" max="4" width="16.75" hidden="0" customWidth="1"/>
    <x:col min="5" max="5" width="17.75" hidden="0" customWidth="1"/>
    <x:col min="6" max="6" width="18.1299991607666" hidden="0" customWidth="1"/>
    <x:col min="7" max="7" width="19.3799991607666" hidden="0" customWidth="1"/>
  </x:cols>
  <x:sheetData>
    <x:row r="1" ht="34" hidden="0" customHeight="1">
      <x:c r="A1" s="39" t="str">
        <x:v>method</x:v>
      </x:c>
      <x:c r="B1" s="39" t="str">
        <x:v>mesh_n</x:v>
      </x:c>
      <x:c r="C1" s="39" t="str">
        <x:v>phase_count</x:v>
      </x:c>
      <x:c r="D1" s="39" t="str">
        <x:v>me_kj_mol_per_H2O</x:v>
      </x:c>
      <x:c r="E1" s="39" t="str">
        <x:v>mae_kj_mol_per_H2O</x:v>
      </x:c>
      <x:c r="F1" s="39" t="str">
        <x:v>rmse_kj_mol_per_H2O</x:v>
      </x:c>
      <x:c r="G1" s="39" t="str">
        <x:v>maxae_kj_mol_per_H2O</x:v>
      </x:c>
    </x:row>
    <x:row r="2" ht="15" hidden="0" customHeight="1">
      <x:c r="A2" s="36" t="str">
        <x:v>CP2K-native pbc provider</x:v>
      </x:c>
      <x:c r="B2" s="36" t="str">
        <x:v>1</x:v>
      </x:c>
      <x:c r="C2" s="36" t="str">
        <x:v>12</x:v>
      </x:c>
      <x:c r="D2" s="41" t="str">
        <x:v>-155.637627553467</x:v>
      </x:c>
      <x:c r="E2" s="41" t="str">
        <x:v>163.834465429086</x:v>
      </x:c>
      <x:c r="F2" s="41" t="str">
        <x:v>218.167762082667</x:v>
      </x:c>
      <x:c r="G2" s="41" t="str">
        <x:v>496.863082184693</x:v>
      </x:c>
    </x:row>
    <x:row r="3" ht="15" hidden="0" customHeight="1">
      <x:c r="A3" s="36" t="str">
        <x:v>CP2K-native pbc provider</x:v>
      </x:c>
      <x:c r="B3" s="36" t="str">
        <x:v>2</x:v>
      </x:c>
      <x:c r="C3" s="36" t="str">
        <x:v>12</x:v>
      </x:c>
      <x:c r="D3" s="41" t="str">
        <x:v>-86.039873197433</x:v>
      </x:c>
      <x:c r="E3" s="41" t="str">
        <x:v>88.681375103720</x:v>
      </x:c>
      <x:c r="F3" s="41" t="str">
        <x:v>125.546489156416</x:v>
      </x:c>
      <x:c r="G3" s="41" t="str">
        <x:v>304.965226317139</x:v>
      </x:c>
    </x:row>
    <x:row r="4" ht="15" hidden="0" customHeight="1">
      <x:c r="A4" s="36" t="str">
        <x:v>CP2K-native pbc provider</x:v>
      </x:c>
      <x:c r="B4" s="36" t="str">
        <x:v>3</x:v>
      </x:c>
      <x:c r="C4" s="36" t="str">
        <x:v>12</x:v>
      </x:c>
      <x:c r="D4" s="41" t="str">
        <x:v>-34.048487494128</x:v>
      </x:c>
      <x:c r="E4" s="41" t="str">
        <x:v>34.048487494128</x:v>
      </x:c>
      <x:c r="F4" s="41" t="str">
        <x:v>57.001948941458</x:v>
      </x:c>
      <x:c r="G4" s="41" t="str">
        <x:v>158.888146955623</x:v>
      </x:c>
    </x:row>
    <x:row r="5" ht="15" hidden="0" customHeight="1">
      <x:c r="A5" s="36" t="str">
        <x:v>CP2K-native pbc provider</x:v>
      </x:c>
      <x:c r="B5" s="36" t="str">
        <x:v>4</x:v>
      </x:c>
      <x:c r="C5" s="36" t="str">
        <x:v>12</x:v>
      </x:c>
      <x:c r="D5" s="41" t="str">
        <x:v>-11.363141476874</x:v>
      </x:c>
      <x:c r="E5" s="41" t="str">
        <x:v>11.365480834036</x:v>
      </x:c>
      <x:c r="F5" s="41" t="str">
        <x:v>21.957919977843</x:v>
      </x:c>
      <x:c r="G5" s="41" t="str">
        <x:v>68.945253819072</x:v>
      </x:c>
    </x:row>
    <x:row r="6" ht="15" hidden="0" customHeight="1">
      <x:c r="A6" s="36" t="str">
        <x:v>CP2K-native pbc provider</x:v>
      </x:c>
      <x:c r="B6" s="36" t="str">
        <x:v>5</x:v>
      </x:c>
      <x:c r="C6" s="36" t="str">
        <x:v>12</x:v>
      </x:c>
      <x:c r="D6" s="41" t="str">
        <x:v>-4.281840289795</x:v>
      </x:c>
      <x:c r="E6" s="41" t="str">
        <x:v>4.346421804936</x:v>
      </x:c>
      <x:c r="F6" s="41" t="str">
        <x:v>8.237871337077</x:v>
      </x:c>
      <x:c r="G6" s="41" t="str">
        <x:v>26.850960292900</x:v>
      </x:c>
    </x:row>
    <x:row r="7" ht="15" hidden="0" customHeight="1">
      <x:c r="A7" s="36" t="str">
        <x:v>author pbc CLI</x:v>
      </x:c>
      <x:c r="B7" s="36" t="str">
        <x:v>2</x:v>
      </x:c>
      <x:c r="C7" s="36" t="str">
        <x:v>12</x:v>
      </x:c>
      <x:c r="D7" s="41" t="str">
        <x:v>-86.068875756041</x:v>
      </x:c>
      <x:c r="E7" s="41" t="str">
        <x:v>88.706865721959</x:v>
      </x:c>
      <x:c r="F7" s="41" t="str">
        <x:v>125.574840258610</x:v>
      </x:c>
      <x:c r="G7" s="41" t="str">
        <x:v>305.057320161804</x:v>
      </x:c>
    </x:row>
    <x:row r="8" ht="15" hidden="0" customHeight="1">
      <x:c r="A8" s="36" t="str">
        <x:v>author pbc CLI</x:v>
      </x:c>
      <x:c r="B8" s="36" t="str">
        <x:v>3</x:v>
      </x:c>
      <x:c r="C8" s="36" t="str">
        <x:v>12</x:v>
      </x:c>
      <x:c r="D8" s="41" t="str">
        <x:v>-34.070588090850</x:v>
      </x:c>
      <x:c r="E8" s="41" t="str">
        <x:v>34.070588090850</x:v>
      </x:c>
      <x:c r="F8" s="41" t="str">
        <x:v>57.024385482952</x:v>
      </x:c>
      <x:c r="G8" s="41" t="str">
        <x:v>158.965297576434</x:v>
      </x:c>
    </x:row>
    <x:row r="9" ht="15" hidden="0" customHeight="1">
      <x:c r="A9" s="36" t="str">
        <x:v>current pbc CLI</x:v>
      </x:c>
      <x:c r="B9" s="36" t="str">
        <x:v>1</x:v>
      </x:c>
      <x:c r="C9" s="36" t="str">
        <x:v>12</x:v>
      </x:c>
      <x:c r="D9" s="41" t="str">
        <x:v>-155.637628172801</x:v>
      </x:c>
      <x:c r="E9" s="41" t="str">
        <x:v>163.834466022141</x:v>
      </x:c>
      <x:c r="F9" s="41" t="str">
        <x:v>218.167762871866</x:v>
      </x:c>
      <x:c r="G9" s="41" t="str">
        <x:v>496.863083815613</x:v>
      </x:c>
    </x:row>
    <x:row r="10" ht="15" hidden="0" customHeight="1">
      <x:c r="A10" s="36" t="str">
        <x:v>current pbc CLI</x:v>
      </x:c>
      <x:c r="B10" s="36" t="str">
        <x:v>2</x:v>
      </x:c>
      <x:c r="C10" s="36" t="str">
        <x:v>12</x:v>
      </x:c>
      <x:c r="D10" s="41" t="str">
        <x:v>-86.039874645610</x:v>
      </x:c>
      <x:c r="E10" s="41" t="str">
        <x:v>88.681375574198</x:v>
      </x:c>
      <x:c r="F10" s="41" t="str">
        <x:v>125.546486754397</x:v>
      </x:c>
      <x:c r="G10" s="41" t="str">
        <x:v>304.965204903283</x:v>
      </x:c>
    </x:row>
    <x:row r="11" ht="15" hidden="0" customHeight="1">
      <x:c r="A11" s="36" t="str">
        <x:v>current pbc CLI</x:v>
      </x:c>
      <x:c r="B11" s="36" t="str">
        <x:v>3</x:v>
      </x:c>
      <x:c r="C11" s="36" t="str">
        <x:v>12</x:v>
      </x:c>
      <x:c r="D11" s="41" t="str">
        <x:v>-34.048491879836</x:v>
      </x:c>
      <x:c r="E11" s="41" t="str">
        <x:v>34.048491879836</x:v>
      </x:c>
      <x:c r="F11" s="41" t="str">
        <x:v>57.001947496075</x:v>
      </x:c>
      <x:c r="G11" s="41" t="str">
        <x:v>158.888129900577</x:v>
      </x:c>
    </x:row>
    <x:row r="12" ht="15" hidden="0" customHeight="1">
      <x:c r="A12" s="36" t="str">
        <x:v>current pbc CLI</x:v>
      </x:c>
      <x:c r="B12" s="36" t="str">
        <x:v>4</x:v>
      </x:c>
      <x:c r="C12" s="36" t="str">
        <x:v>12</x:v>
      </x:c>
      <x:c r="D12" s="41" t="str">
        <x:v>-11.363145705679</x:v>
      </x:c>
      <x:c r="E12" s="41" t="str">
        <x:v>11.365484028629</x:v>
      </x:c>
      <x:c r="F12" s="41" t="str">
        <x:v>21.957916768965</x:v>
      </x:c>
      <x:c r="G12" s="41" t="str">
        <x:v>68.945235096392</x:v>
      </x:c>
    </x:row>
    <x:row r="13" ht="15" hidden="0" customHeight="1">
      <x:c r="A13" s="36" t="str">
        <x:v>historical mstore-inorganic CLI</x:v>
      </x:c>
      <x:c r="B13" s="36" t="str">
        <x:v>2</x:v>
      </x:c>
      <x:c r="C13" s="36" t="str">
        <x:v>12</x:v>
      </x:c>
      <x:c r="D13" s="41" t="str">
        <x:v>-46.837497635311</x:v>
      </x:c>
      <x:c r="E13" s="41" t="str">
        <x:v>48.710763704892</x:v>
      </x:c>
      <x:c r="F13" s="41" t="str">
        <x:v>66.480998967341</x:v>
      </x:c>
      <x:c r="G13" s="41" t="str">
        <x:v>156.937965741842</x:v>
      </x:c>
    </x:row>
    <x:row r="14" ht="15" hidden="0" customHeight="1">
      <x:c r="A14" s="36" t="str">
        <x:v>historical mstore-inorganic CLI</x:v>
      </x:c>
      <x:c r="B14" s="36" t="str">
        <x:v>3</x:v>
      </x:c>
      <x:c r="C14" s="36" t="str">
        <x:v>12</x:v>
      </x:c>
      <x:c r="D14" s="41" t="str">
        <x:v>-17.830623485072</x:v>
      </x:c>
      <x:c r="E14" s="41" t="str">
        <x:v>17.830623485072</x:v>
      </x:c>
      <x:c r="F14" s="41" t="str">
        <x:v>29.482893777393</x:v>
      </x:c>
      <x:c r="G14" s="41" t="str">
        <x:v>82.436667006181</x:v>
      </x:c>
    </x:row>
  </x:sheetData>
  <x:conditionalFormatting sqref="E2:E14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" hidden="0" customWidth="1"/>
    <x:col min="3" max="3" width="11" hidden="0" customWidth="1"/>
    <x:col min="4" max="4" width="26.25" hidden="0" customWidth="1"/>
    <x:col min="5" max="5" width="25.75" hidden="0" customWidth="1"/>
    <x:col min="6" max="6" width="18.25" hidden="0" customWidth="1"/>
    <x:col min="7" max="7" width="25.75" hidden="0" customWidth="1"/>
    <x:col min="8" max="8" width="11" hidden="0" customWidth="1"/>
  </x:cols>
  <x:sheetData>
    <x:row r="1" ht="34" hidden="0" customHeight="1">
      <x:c r="A1" s="39" t="str">
        <x:v>method</x:v>
      </x:c>
      <x:c r="B1" s="39" t="str">
        <x:v>mesh_n</x:v>
      </x:c>
      <x:c r="C1" s="39" t="str">
        <x:v>phase</x:v>
      </x:c>
      <x:c r="D1" s="39" t="str">
        <x:v>relative_energy_kj_mol_per_H2O</x:v>
      </x:c>
      <x:c r="E1" s="39" t="str">
        <x:v>dmc_reference_kj_mol_per_H2O</x:v>
      </x:c>
      <x:c r="F1" s="39" t="str">
        <x:v>error_kj_mol_per_H2O</x:v>
      </x:c>
      <x:c r="G1" s="39" t="str">
        <x:v>absolute_error_kj_mol_per_H2O</x:v>
      </x:c>
      <x:c r="H1" s="39" t="str">
        <x:v>qualification</x:v>
      </x:c>
    </x:row>
    <x:row r="2" ht="15" hidden="0" customHeight="1">
      <x:c r="A2" s="36" t="str">
        <x:v>CP2K-native pbc provider</x:v>
      </x:c>
      <x:c r="B2" s="36" t="str">
        <x:v>1</x:v>
      </x:c>
      <x:c r="C2" s="36" t="str">
        <x:v>II</x:v>
      </x:c>
      <x:c r="D2" s="42" t="str">
        <x:v>-85.402832141787</x:v>
      </x:c>
      <x:c r="E2" s="42" t="str">
        <x:v>0.310000</x:v>
      </x:c>
      <x:c r="F2" s="42" t="str">
        <x:v>-85.712832141787</x:v>
      </x:c>
      <x:c r="G2" s="42" t="str">
        <x:v>85.712832141787</x:v>
      </x:c>
      <x:c r="H2" s="36" t="str">
        <x:v>PASS</x:v>
      </x:c>
    </x:row>
    <x:row r="3" ht="15" hidden="0" customHeight="1">
      <x:c r="A3" s="36" t="str">
        <x:v>CP2K-native pbc provider</x:v>
      </x:c>
      <x:c r="B3" s="36" t="str">
        <x:v>1</x:v>
      </x:c>
      <x:c r="C3" s="36" t="str">
        <x:v>III</x:v>
      </x:c>
      <x:c r="D3" s="42" t="str">
        <x:v>-52.784771268542</x:v>
      </x:c>
      <x:c r="E3" s="42" t="str">
        <x:v>1.250000</x:v>
      </x:c>
      <x:c r="F3" s="42" t="str">
        <x:v>-54.034771268542</x:v>
      </x:c>
      <x:c r="G3" s="42" t="str">
        <x:v>54.034771268542</x:v>
      </x:c>
      <x:c r="H3" s="36" t="str">
        <x:v>PASS</x:v>
      </x:c>
    </x:row>
    <x:row r="4" ht="15" hidden="0" customHeight="1">
      <x:c r="A4" s="36" t="str">
        <x:v>CP2K-native pbc provider</x:v>
      </x:c>
      <x:c r="B4" s="36" t="str">
        <x:v>1</x:v>
      </x:c>
      <x:c r="C4" s="36" t="str">
        <x:v>IV</x:v>
      </x:c>
      <x:c r="D4" s="42" t="str">
        <x:v>38.666296563445</x:v>
      </x:c>
      <x:c r="E4" s="42" t="str">
        <x:v>3.830000</x:v>
      </x:c>
      <x:c r="F4" s="42" t="str">
        <x:v>34.836296563445</x:v>
      </x:c>
      <x:c r="G4" s="42" t="str">
        <x:v>34.836296563445</x:v>
      </x:c>
      <x:c r="H4" s="36" t="str">
        <x:v>PASS</x:v>
      </x:c>
    </x:row>
    <x:row r="5" ht="15" hidden="0" customHeight="1">
      <x:c r="A5" s="36" t="str">
        <x:v>CP2K-native pbc provider</x:v>
      </x:c>
      <x:c r="B5" s="36" t="str">
        <x:v>1</x:v>
      </x:c>
      <x:c r="C5" s="36" t="str">
        <x:v>VI</x:v>
      </x:c>
      <x:c r="D5" s="42" t="str">
        <x:v>-119.951875945327</x:v>
      </x:c>
      <x:c r="E5" s="42" t="str">
        <x:v>1.780000</x:v>
      </x:c>
      <x:c r="F5" s="42" t="str">
        <x:v>-121.731875945327</x:v>
      </x:c>
      <x:c r="G5" s="42" t="str">
        <x:v>121.731875945327</x:v>
      </x:c>
      <x:c r="H5" s="36" t="str">
        <x:v>PASS</x:v>
      </x:c>
    </x:row>
    <x:row r="6" ht="15" hidden="0" customHeight="1">
      <x:c r="A6" s="36" t="str">
        <x:v>CP2K-native pbc provider</x:v>
      </x:c>
      <x:c r="B6" s="36" t="str">
        <x:v>1</x:v>
      </x:c>
      <x:c r="C6" s="36" t="str">
        <x:v>VII</x:v>
      </x:c>
      <x:c r="D6" s="42" t="str">
        <x:v>-491.873082184693</x:v>
      </x:c>
      <x:c r="E6" s="42" t="str">
        <x:v>4.990000</x:v>
      </x:c>
      <x:c r="F6" s="42" t="str">
        <x:v>-496.863082184693</x:v>
      </x:c>
      <x:c r="G6" s="42" t="str">
        <x:v>496.863082184693</x:v>
      </x:c>
      <x:c r="H6" s="36" t="str">
        <x:v>PASS</x:v>
      </x:c>
    </x:row>
    <x:row r="7" ht="15" hidden="0" customHeight="1">
      <x:c r="A7" s="36" t="str">
        <x:v>CP2K-native pbc provider</x:v>
      </x:c>
      <x:c r="B7" s="36" t="str">
        <x:v>1</x:v>
      </x:c>
      <x:c r="C7" s="36" t="str">
        <x:v>VIII</x:v>
      </x:c>
      <x:c r="D7" s="42" t="str">
        <x:v>-227.181419883129</x:v>
      </x:c>
      <x:c r="E7" s="42" t="str">
        <x:v>4.230000</x:v>
      </x:c>
      <x:c r="F7" s="42" t="str">
        <x:v>-231.411419883129</x:v>
      </x:c>
      <x:c r="G7" s="42" t="str">
        <x:v>231.411419883129</x:v>
      </x:c>
      <x:c r="H7" s="36" t="str">
        <x:v>PASS</x:v>
      </x:c>
    </x:row>
    <x:row r="8" ht="15" hidden="0" customHeight="1">
      <x:c r="A8" s="36" t="str">
        <x:v>CP2K-native pbc provider</x:v>
      </x:c>
      <x:c r="B8" s="36" t="str">
        <x:v>1</x:v>
      </x:c>
      <x:c r="C8" s="36" t="str">
        <x:v>IX</x:v>
      </x:c>
      <x:c r="D8" s="42" t="str">
        <x:v>-36.269951766466</x:v>
      </x:c>
      <x:c r="E8" s="42" t="str">
        <x:v>0.600000</x:v>
      </x:c>
      <x:c r="F8" s="42" t="str">
        <x:v>-36.869951766466</x:v>
      </x:c>
      <x:c r="G8" s="42" t="str">
        <x:v>36.869951766466</x:v>
      </x:c>
      <x:c r="H8" s="36" t="str">
        <x:v>PASS</x:v>
      </x:c>
    </x:row>
    <x:row r="9" ht="15" hidden="0" customHeight="1">
      <x:c r="A9" s="36" t="str">
        <x:v>CP2K-native pbc provider</x:v>
      </x:c>
      <x:c r="B9" s="36" t="str">
        <x:v>1</x:v>
      </x:c>
      <x:c r="C9" s="36" t="str">
        <x:v>XI</x:v>
      </x:c>
      <x:c r="D9" s="42" t="str">
        <x:v>-299.258517764208</x:v>
      </x:c>
      <x:c r="E9" s="42" t="str">
        <x:v>0.160000</x:v>
      </x:c>
      <x:c r="F9" s="42" t="str">
        <x:v>-299.418517764208</x:v>
      </x:c>
      <x:c r="G9" s="42" t="str">
        <x:v>299.418517764208</x:v>
      </x:c>
      <x:c r="H9" s="36" t="str">
        <x:v>PASS</x:v>
      </x:c>
    </x:row>
    <x:row r="10" ht="15" hidden="0" customHeight="1">
      <x:c r="A10" s="36" t="str">
        <x:v>CP2K-native pbc provider</x:v>
      </x:c>
      <x:c r="B10" s="36" t="str">
        <x:v>1</x:v>
      </x:c>
      <x:c r="C10" s="36" t="str">
        <x:v>XIII</x:v>
      </x:c>
      <x:c r="D10" s="42" t="str">
        <x:v>16.464730690270</x:v>
      </x:c>
      <x:c r="E10" s="42" t="str">
        <x:v>2.120000</x:v>
      </x:c>
      <x:c r="F10" s="42" t="str">
        <x:v>14.344730690270</x:v>
      </x:c>
      <x:c r="G10" s="42" t="str">
        <x:v>14.344730690270</x:v>
      </x:c>
      <x:c r="H10" s="36" t="str">
        <x:v>PASS</x:v>
      </x:c>
    </x:row>
    <x:row r="11" ht="15" hidden="0" customHeight="1">
      <x:c r="A11" s="36" t="str">
        <x:v>CP2K-native pbc provider</x:v>
      </x:c>
      <x:c r="B11" s="36" t="str">
        <x:v>1</x:v>
      </x:c>
      <x:c r="C11" s="36" t="str">
        <x:v>XIV</x:v>
      </x:c>
      <x:c r="D11" s="42" t="str">
        <x:v>-351.956575258314</x:v>
      </x:c>
      <x:c r="E11" s="42" t="str">
        <x:v>1.700000</x:v>
      </x:c>
      <x:c r="F11" s="42" t="str">
        <x:v>-353.656575258314</x:v>
      </x:c>
      <x:c r="G11" s="42" t="str">
        <x:v>353.656575258314</x:v>
      </x:c>
      <x:c r="H11" s="36" t="str">
        <x:v>PASS</x:v>
      </x:c>
    </x:row>
    <x:row r="12" ht="15" hidden="0" customHeight="1">
      <x:c r="A12" s="36" t="str">
        <x:v>CP2K-native pbc provider</x:v>
      </x:c>
      <x:c r="B12" s="36" t="str">
        <x:v>1</x:v>
      </x:c>
      <x:c r="C12" s="36" t="str">
        <x:v>XV</x:v>
      </x:c>
      <x:c r="D12" s="42" t="str">
        <x:v>-121.156627657516</x:v>
      </x:c>
      <x:c r="E12" s="42" t="str">
        <x:v>1.740000</x:v>
      </x:c>
      <x:c r="F12" s="42" t="str">
        <x:v>-122.896627657516</x:v>
      </x:c>
      <x:c r="G12" s="42" t="str">
        <x:v>122.896627657516</x:v>
      </x:c>
      <x:c r="H12" s="36" t="str">
        <x:v>PASS</x:v>
      </x:c>
    </x:row>
    <x:row r="13" ht="15" hidden="0" customHeight="1">
      <x:c r="A13" s="36" t="str">
        <x:v>CP2K-native pbc provider</x:v>
      </x:c>
      <x:c r="B13" s="36" t="str">
        <x:v>1</x:v>
      </x:c>
      <x:c r="C13" s="36" t="str">
        <x:v>XVII</x:v>
      </x:c>
      <x:c r="D13" s="42" t="str">
        <x:v>-112.486904025341</x:v>
      </x:c>
      <x:c r="E13" s="42" t="str">
        <x:v>1.750000</x:v>
      </x:c>
      <x:c r="F13" s="42" t="str">
        <x:v>-114.236904025341</x:v>
      </x:c>
      <x:c r="G13" s="42" t="str">
        <x:v>114.236904025341</x:v>
      </x:c>
      <x:c r="H13" s="36" t="str">
        <x:v>PASS</x:v>
      </x:c>
    </x:row>
    <x:row r="14" ht="15" hidden="0" customHeight="1">
      <x:c r="A14" s="36" t="str">
        <x:v>CP2K-native pbc provider</x:v>
      </x:c>
      <x:c r="B14" s="36" t="str">
        <x:v>2</x:v>
      </x:c>
      <x:c r="C14" s="36" t="str">
        <x:v>II</x:v>
      </x:c>
      <x:c r="D14" s="42" t="str">
        <x:v>-40.052766068529</x:v>
      </x:c>
      <x:c r="E14" s="42" t="str">
        <x:v>0.310000</x:v>
      </x:c>
      <x:c r="F14" s="42" t="str">
        <x:v>-40.362766068529</x:v>
      </x:c>
      <x:c r="G14" s="42" t="str">
        <x:v>40.362766068529</x:v>
      </x:c>
      <x:c r="H14" s="36" t="str">
        <x:v>PASS</x:v>
      </x:c>
    </x:row>
    <x:row r="15" ht="15" hidden="0" customHeight="1">
      <x:c r="A15" s="36" t="str">
        <x:v>CP2K-native pbc provider</x:v>
      </x:c>
      <x:c r="B15" s="36" t="str">
        <x:v>2</x:v>
      </x:c>
      <x:c r="C15" s="36" t="str">
        <x:v>III</x:v>
      </x:c>
      <x:c r="D15" s="42" t="str">
        <x:v>-21.669455109452</x:v>
      </x:c>
      <x:c r="E15" s="42" t="str">
        <x:v>1.250000</x:v>
      </x:c>
      <x:c r="F15" s="42" t="str">
        <x:v>-22.919455109452</x:v>
      </x:c>
      <x:c r="G15" s="42" t="str">
        <x:v>22.919455109452</x:v>
      </x:c>
      <x:c r="H15" s="36" t="str">
        <x:v>PASS</x:v>
      </x:c>
    </x:row>
    <x:row r="16" ht="15" hidden="0" customHeight="1">
      <x:c r="A16" s="36" t="str">
        <x:v>CP2K-native pbc provider</x:v>
      </x:c>
      <x:c r="B16" s="36" t="str">
        <x:v>2</x:v>
      </x:c>
      <x:c r="C16" s="36" t="str">
        <x:v>IV</x:v>
      </x:c>
      <x:c r="D16" s="42" t="str">
        <x:v>14.926650765275</x:v>
      </x:c>
      <x:c r="E16" s="42" t="str">
        <x:v>3.830000</x:v>
      </x:c>
      <x:c r="F16" s="42" t="str">
        <x:v>11.096650765275</x:v>
      </x:c>
      <x:c r="G16" s="42" t="str">
        <x:v>11.096650765275</x:v>
      </x:c>
      <x:c r="H16" s="36" t="str">
        <x:v>PASS</x:v>
      </x:c>
    </x:row>
    <x:row r="17" ht="15" hidden="0" customHeight="1">
      <x:c r="A17" s="36" t="str">
        <x:v>CP2K-native pbc provider</x:v>
      </x:c>
      <x:c r="B17" s="36" t="str">
        <x:v>2</x:v>
      </x:c>
      <x:c r="C17" s="36" t="str">
        <x:v>VI</x:v>
      </x:c>
      <x:c r="D17" s="42" t="str">
        <x:v>-57.367272481186</x:v>
      </x:c>
      <x:c r="E17" s="42" t="str">
        <x:v>1.780000</x:v>
      </x:c>
      <x:c r="F17" s="42" t="str">
        <x:v>-59.147272481186</x:v>
      </x:c>
      <x:c r="G17" s="42" t="str">
        <x:v>59.147272481186</x:v>
      </x:c>
      <x:c r="H17" s="36" t="str">
        <x:v>PASS</x:v>
      </x:c>
    </x:row>
    <x:row r="18" ht="15" hidden="0" customHeight="1">
      <x:c r="A18" s="36" t="str">
        <x:v>CP2K-native pbc provider</x:v>
      </x:c>
      <x:c r="B18" s="36" t="str">
        <x:v>2</x:v>
      </x:c>
      <x:c r="C18" s="36" t="str">
        <x:v>VII</x:v>
      </x:c>
      <x:c r="D18" s="42" t="str">
        <x:v>-299.975226317139</x:v>
      </x:c>
      <x:c r="E18" s="42" t="str">
        <x:v>4.990000</x:v>
      </x:c>
      <x:c r="F18" s="42" t="str">
        <x:v>-304.965226317139</x:v>
      </x:c>
      <x:c r="G18" s="42" t="str">
        <x:v>304.965226317139</x:v>
      </x:c>
      <x:c r="H18" s="36" t="str">
        <x:v>PASS</x:v>
      </x:c>
    </x:row>
    <x:row r="19" ht="15" hidden="0" customHeight="1">
      <x:c r="A19" s="36" t="str">
        <x:v>CP2K-native pbc provider</x:v>
      </x:c>
      <x:c r="B19" s="36" t="str">
        <x:v>2</x:v>
      </x:c>
      <x:c r="C19" s="36" t="str">
        <x:v>VIII</x:v>
      </x:c>
      <x:c r="D19" s="42" t="str">
        <x:v>-121.493618846350</x:v>
      </x:c>
      <x:c r="E19" s="42" t="str">
        <x:v>4.230000</x:v>
      </x:c>
      <x:c r="F19" s="42" t="str">
        <x:v>-125.723618846350</x:v>
      </x:c>
      <x:c r="G19" s="42" t="str">
        <x:v>125.723618846350</x:v>
      </x:c>
      <x:c r="H19" s="36" t="str">
        <x:v>PASS</x:v>
      </x:c>
    </x:row>
    <x:row r="20" ht="15" hidden="0" customHeight="1">
      <x:c r="A20" s="36" t="str">
        <x:v>CP2K-native pbc provider</x:v>
      </x:c>
      <x:c r="B20" s="36" t="str">
        <x:v>2</x:v>
      </x:c>
      <x:c r="C20" s="36" t="str">
        <x:v>IX</x:v>
      </x:c>
      <x:c r="D20" s="42" t="str">
        <x:v>-14.811030410780</x:v>
      </x:c>
      <x:c r="E20" s="42" t="str">
        <x:v>0.600000</x:v>
      </x:c>
      <x:c r="F20" s="42" t="str">
        <x:v>-15.411030410780</x:v>
      </x:c>
      <x:c r="G20" s="42" t="str">
        <x:v>15.411030410780</x:v>
      </x:c>
      <x:c r="H20" s="36" t="str">
        <x:v>PASS</x:v>
      </x:c>
    </x:row>
    <x:row r="21" ht="15" hidden="0" customHeight="1">
      <x:c r="A21" s="36" t="str">
        <x:v>CP2K-native pbc provider</x:v>
      </x:c>
      <x:c r="B21" s="36" t="str">
        <x:v>2</x:v>
      </x:c>
      <x:c r="C21" s="36" t="str">
        <x:v>XI</x:v>
      </x:c>
      <x:c r="D21" s="42" t="str">
        <x:v>-165.236805185714</x:v>
      </x:c>
      <x:c r="E21" s="42" t="str">
        <x:v>0.160000</x:v>
      </x:c>
      <x:c r="F21" s="42" t="str">
        <x:v>-165.396805185714</x:v>
      </x:c>
      <x:c r="G21" s="42" t="str">
        <x:v>165.396805185714</x:v>
      </x:c>
      <x:c r="H21" s="36" t="str">
        <x:v>PASS</x:v>
      </x:c>
    </x:row>
    <x:row r="22" ht="15" hidden="0" customHeight="1">
      <x:c r="A22" s="36" t="str">
        <x:v>CP2K-native pbc provider</x:v>
      </x:c>
      <x:c r="B22" s="36" t="str">
        <x:v>2</x:v>
      </x:c>
      <x:c r="C22" s="36" t="str">
        <x:v>XIII</x:v>
      </x:c>
      <x:c r="D22" s="42" t="str">
        <x:v>6.872360672447</x:v>
      </x:c>
      <x:c r="E22" s="42" t="str">
        <x:v>2.120000</x:v>
      </x:c>
      <x:c r="F22" s="42" t="str">
        <x:v>4.752360672447</x:v>
      </x:c>
      <x:c r="G22" s="42" t="str">
        <x:v>4.752360672447</x:v>
      </x:c>
      <x:c r="H22" s="36" t="str">
        <x:v>PASS</x:v>
      </x:c>
    </x:row>
    <x:row r="23" ht="15" hidden="0" customHeight="1">
      <x:c r="A23" s="36" t="str">
        <x:v>CP2K-native pbc provider</x:v>
      </x:c>
      <x:c r="B23" s="36" t="str">
        <x:v>2</x:v>
      </x:c>
      <x:c r="C23" s="36" t="str">
        <x:v>XIV</x:v>
      </x:c>
      <x:c r="D23" s="42" t="str">
        <x:v>-199.607037403887</x:v>
      </x:c>
      <x:c r="E23" s="42" t="str">
        <x:v>1.700000</x:v>
      </x:c>
      <x:c r="F23" s="42" t="str">
        <x:v>-201.307037403887</x:v>
      </x:c>
      <x:c r="G23" s="42" t="str">
        <x:v>201.307037403887</x:v>
      </x:c>
      <x:c r="H23" s="36" t="str">
        <x:v>PASS</x:v>
      </x:c>
    </x:row>
    <x:row r="24" ht="15" hidden="0" customHeight="1">
      <x:c r="A24" s="36" t="str">
        <x:v>CP2K-native pbc provider</x:v>
      </x:c>
      <x:c r="B24" s="36" t="str">
        <x:v>2</x:v>
      </x:c>
      <x:c r="C24" s="36" t="str">
        <x:v>XV</x:v>
      </x:c>
      <x:c r="D24" s="42" t="str">
        <x:v>-58.045560486171</x:v>
      </x:c>
      <x:c r="E24" s="42" t="str">
        <x:v>1.740000</x:v>
      </x:c>
      <x:c r="F24" s="42" t="str">
        <x:v>-59.785560486171</x:v>
      </x:c>
      <x:c r="G24" s="42" t="str">
        <x:v>59.785560486171</x:v>
      </x:c>
      <x:c r="H24" s="36" t="str">
        <x:v>PASS</x:v>
      </x:c>
    </x:row>
    <x:row r="25" ht="15" hidden="0" customHeight="1">
      <x:c r="A25" s="36" t="str">
        <x:v>CP2K-native pbc provider</x:v>
      </x:c>
      <x:c r="B25" s="36" t="str">
        <x:v>2</x:v>
      </x:c>
      <x:c r="C25" s="36" t="str">
        <x:v>XVII</x:v>
      </x:c>
      <x:c r="D25" s="42" t="str">
        <x:v>-51.558717497715</x:v>
      </x:c>
      <x:c r="E25" s="42" t="str">
        <x:v>1.750000</x:v>
      </x:c>
      <x:c r="F25" s="42" t="str">
        <x:v>-53.308717497715</x:v>
      </x:c>
      <x:c r="G25" s="42" t="str">
        <x:v>53.308717497715</x:v>
      </x:c>
      <x:c r="H25" s="36" t="str">
        <x:v>PASS</x:v>
      </x:c>
    </x:row>
    <x:row r="26" ht="15" hidden="0" customHeight="1">
      <x:c r="A26" s="36" t="str">
        <x:v>CP2K-native pbc provider</x:v>
      </x:c>
      <x:c r="B26" s="36" t="str">
        <x:v>3</x:v>
      </x:c>
      <x:c r="C26" s="36" t="str">
        <x:v>II</x:v>
      </x:c>
      <x:c r="D26" s="42" t="str">
        <x:v>-9.052122321210</x:v>
      </x:c>
      <x:c r="E26" s="42" t="str">
        <x:v>0.310000</x:v>
      </x:c>
      <x:c r="F26" s="42" t="str">
        <x:v>-9.362122321210</x:v>
      </x:c>
      <x:c r="G26" s="42" t="str">
        <x:v>9.362122321210</x:v>
      </x:c>
      <x:c r="H26" s="36" t="str">
        <x:v>PASS</x:v>
      </x:c>
    </x:row>
    <x:row r="27" ht="15" hidden="0" customHeight="1">
      <x:c r="A27" s="36" t="str">
        <x:v>CP2K-native pbc provider</x:v>
      </x:c>
      <x:c r="B27" s="36" t="str">
        <x:v>3</x:v>
      </x:c>
      <x:c r="C27" s="36" t="str">
        <x:v>III</x:v>
      </x:c>
      <x:c r="D27" s="42" t="str">
        <x:v>-2.299610990511</x:v>
      </x:c>
      <x:c r="E27" s="42" t="str">
        <x:v>1.250000</x:v>
      </x:c>
      <x:c r="F27" s="42" t="str">
        <x:v>-3.549610990511</x:v>
      </x:c>
      <x:c r="G27" s="42" t="str">
        <x:v>3.549610990511</x:v>
      </x:c>
      <x:c r="H27" s="36" t="str">
        <x:v>PASS</x:v>
      </x:c>
    </x:row>
    <x:row r="28" ht="15" hidden="0" customHeight="1">
      <x:c r="A28" s="36" t="str">
        <x:v>CP2K-native pbc provider</x:v>
      </x:c>
      <x:c r="B28" s="36" t="str">
        <x:v>3</x:v>
      </x:c>
      <x:c r="C28" s="36" t="str">
        <x:v>IV</x:v>
      </x:c>
      <x:c r="D28" s="42" t="str">
        <x:v>2.904346265887</x:v>
      </x:c>
      <x:c r="E28" s="42" t="str">
        <x:v>3.830000</x:v>
      </x:c>
      <x:c r="F28" s="42" t="str">
        <x:v>-0.925653734113</x:v>
      </x:c>
      <x:c r="G28" s="42" t="str">
        <x:v>0.925653734113</x:v>
      </x:c>
      <x:c r="H28" s="36" t="str">
        <x:v>PASS</x:v>
      </x:c>
    </x:row>
    <x:row r="29" ht="15" hidden="0" customHeight="1">
      <x:c r="A29" s="36" t="str">
        <x:v>CP2K-native pbc provider</x:v>
      </x:c>
      <x:c r="B29" s="36" t="str">
        <x:v>3</x:v>
      </x:c>
      <x:c r="C29" s="36" t="str">
        <x:v>VI</x:v>
      </x:c>
      <x:c r="D29" s="42" t="str">
        <x:v>-12.321024967755</x:v>
      </x:c>
      <x:c r="E29" s="42" t="str">
        <x:v>1.780000</x:v>
      </x:c>
      <x:c r="F29" s="42" t="str">
        <x:v>-14.101024967755</x:v>
      </x:c>
      <x:c r="G29" s="42" t="str">
        <x:v>14.101024967755</x:v>
      </x:c>
      <x:c r="H29" s="36" t="str">
        <x:v>PASS</x:v>
      </x:c>
    </x:row>
    <x:row r="30" ht="15" hidden="0" customHeight="1">
      <x:c r="A30" s="36" t="str">
        <x:v>CP2K-native pbc provider</x:v>
      </x:c>
      <x:c r="B30" s="36" t="str">
        <x:v>3</x:v>
      </x:c>
      <x:c r="C30" s="36" t="str">
        <x:v>VII</x:v>
      </x:c>
      <x:c r="D30" s="42" t="str">
        <x:v>-153.898146955623</x:v>
      </x:c>
      <x:c r="E30" s="42" t="str">
        <x:v>4.990000</x:v>
      </x:c>
      <x:c r="F30" s="42" t="str">
        <x:v>-158.888146955623</x:v>
      </x:c>
      <x:c r="G30" s="42" t="str">
        <x:v>158.888146955623</x:v>
      </x:c>
      <x:c r="H30" s="36" t="str">
        <x:v>PASS</x:v>
      </x:c>
    </x:row>
    <x:row r="31" ht="15" hidden="0" customHeight="1">
      <x:c r="A31" s="36" t="str">
        <x:v>CP2K-native pbc provider</x:v>
      </x:c>
      <x:c r="B31" s="36" t="str">
        <x:v>3</x:v>
      </x:c>
      <x:c r="C31" s="36" t="str">
        <x:v>VIII</x:v>
      </x:c>
      <x:c r="D31" s="42" t="str">
        <x:v>-38.486259267871</x:v>
      </x:c>
      <x:c r="E31" s="42" t="str">
        <x:v>4.230000</x:v>
      </x:c>
      <x:c r="F31" s="42" t="str">
        <x:v>-42.716259267871</x:v>
      </x:c>
      <x:c r="G31" s="42" t="str">
        <x:v>42.716259267871</x:v>
      </x:c>
      <x:c r="H31" s="36" t="str">
        <x:v>PASS</x:v>
      </x:c>
    </x:row>
    <x:row r="32" ht="15" hidden="0" customHeight="1">
      <x:c r="A32" s="36" t="str">
        <x:v>CP2K-native pbc provider</x:v>
      </x:c>
      <x:c r="B32" s="36" t="str">
        <x:v>3</x:v>
      </x:c>
      <x:c r="C32" s="36" t="str">
        <x:v>IX</x:v>
      </x:c>
      <x:c r="D32" s="42" t="str">
        <x:v>-2.460998734167</x:v>
      </x:c>
      <x:c r="E32" s="42" t="str">
        <x:v>0.600000</x:v>
      </x:c>
      <x:c r="F32" s="42" t="str">
        <x:v>-3.060998734167</x:v>
      </x:c>
      <x:c r="G32" s="42" t="str">
        <x:v>3.060998734167</x:v>
      </x:c>
      <x:c r="H32" s="36" t="str">
        <x:v>PASS</x:v>
      </x:c>
    </x:row>
    <x:row r="33" ht="15" hidden="0" customHeight="1">
      <x:c r="A33" s="36" t="str">
        <x:v>CP2K-native pbc provider</x:v>
      </x:c>
      <x:c r="B33" s="36" t="str">
        <x:v>3</x:v>
      </x:c>
      <x:c r="C33" s="36" t="str">
        <x:v>XI</x:v>
      </x:c>
      <x:c r="D33" s="42" t="str">
        <x:v>-62.523168276147</x:v>
      </x:c>
      <x:c r="E33" s="42" t="str">
        <x:v>0.160000</x:v>
      </x:c>
      <x:c r="F33" s="42" t="str">
        <x:v>-62.683168276147</x:v>
      </x:c>
      <x:c r="G33" s="42" t="str">
        <x:v>62.683168276147</x:v>
      </x:c>
      <x:c r="H33" s="36" t="str">
        <x:v>PASS</x:v>
      </x:c>
    </x:row>
    <x:row r="34" ht="15" hidden="0" customHeight="1">
      <x:c r="A34" s="36" t="str">
        <x:v>CP2K-native pbc provider</x:v>
      </x:c>
      <x:c r="B34" s="36" t="str">
        <x:v>3</x:v>
      </x:c>
      <x:c r="C34" s="36" t="str">
        <x:v>XIII</x:v>
      </x:c>
      <x:c r="D34" s="42" t="str">
        <x:v>0.926729513961</x:v>
      </x:c>
      <x:c r="E34" s="42" t="str">
        <x:v>2.120000</x:v>
      </x:c>
      <x:c r="F34" s="42" t="str">
        <x:v>-1.193270486039</x:v>
      </x:c>
      <x:c r="G34" s="42" t="str">
        <x:v>1.193270486039</x:v>
      </x:c>
      <x:c r="H34" s="36" t="str">
        <x:v>PASS</x:v>
      </x:c>
    </x:row>
    <x:row r="35" ht="15" hidden="0" customHeight="1">
      <x:c r="A35" s="36" t="str">
        <x:v>CP2K-native pbc provider</x:v>
      </x:c>
      <x:c r="B35" s="36" t="str">
        <x:v>3</x:v>
      </x:c>
      <x:c r="C35" s="36" t="str">
        <x:v>XIV</x:v>
      </x:c>
      <x:c r="D35" s="42" t="str">
        <x:v>-83.899711714503</x:v>
      </x:c>
      <x:c r="E35" s="42" t="str">
        <x:v>1.700000</x:v>
      </x:c>
      <x:c r="F35" s="42" t="str">
        <x:v>-85.599711714503</x:v>
      </x:c>
      <x:c r="G35" s="42" t="str">
        <x:v>85.599711714503</x:v>
      </x:c>
      <x:c r="H35" s="36" t="str">
        <x:v>PASS</x:v>
      </x:c>
    </x:row>
    <x:row r="36" ht="15" hidden="0" customHeight="1">
      <x:c r="A36" s="36" t="str">
        <x:v>CP2K-native pbc provider</x:v>
      </x:c>
      <x:c r="B36" s="36" t="str">
        <x:v>3</x:v>
      </x:c>
      <x:c r="C36" s="36" t="str">
        <x:v>XV</x:v>
      </x:c>
      <x:c r="D36" s="42" t="str">
        <x:v>-12.545496741036</x:v>
      </x:c>
      <x:c r="E36" s="42" t="str">
        <x:v>1.740000</x:v>
      </x:c>
      <x:c r="F36" s="42" t="str">
        <x:v>-14.285496741036</x:v>
      </x:c>
      <x:c r="G36" s="42" t="str">
        <x:v>14.285496741036</x:v>
      </x:c>
      <x:c r="H36" s="36" t="str">
        <x:v>PASS</x:v>
      </x:c>
    </x:row>
    <x:row r="37" ht="15" hidden="0" customHeight="1">
      <x:c r="A37" s="36" t="str">
        <x:v>CP2K-native pbc provider</x:v>
      </x:c>
      <x:c r="B37" s="36" t="str">
        <x:v>3</x:v>
      </x:c>
      <x:c r="C37" s="36" t="str">
        <x:v>XVII</x:v>
      </x:c>
      <x:c r="D37" s="42" t="str">
        <x:v>-10.466385740566</x:v>
      </x:c>
      <x:c r="E37" s="42" t="str">
        <x:v>1.750000</x:v>
      </x:c>
      <x:c r="F37" s="42" t="str">
        <x:v>-12.216385740566</x:v>
      </x:c>
      <x:c r="G37" s="42" t="str">
        <x:v>12.216385740566</x:v>
      </x:c>
      <x:c r="H37" s="36" t="str">
        <x:v>PASS</x:v>
      </x:c>
    </x:row>
    <x:row r="38" ht="15" hidden="0" customHeight="1">
      <x:c r="A38" s="36" t="str">
        <x:v>CP2K-native pbc provider</x:v>
      </x:c>
      <x:c r="B38" s="36" t="str">
        <x:v>4</x:v>
      </x:c>
      <x:c r="C38" s="36" t="str">
        <x:v>II</x:v>
      </x:c>
      <x:c r="D38" s="42" t="str">
        <x:v>-2.513144332386</x:v>
      </x:c>
      <x:c r="E38" s="42" t="str">
        <x:v>0.310000</x:v>
      </x:c>
      <x:c r="F38" s="42" t="str">
        <x:v>-2.823144332386</x:v>
      </x:c>
      <x:c r="G38" s="42" t="str">
        <x:v>2.823144332386</x:v>
      </x:c>
      <x:c r="H38" s="36" t="str">
        <x:v>PASS</x:v>
      </x:c>
    </x:row>
    <x:row r="39" ht="15" hidden="0" customHeight="1">
      <x:c r="A39" s="36" t="str">
        <x:v>CP2K-native pbc provider</x:v>
      </x:c>
      <x:c r="B39" s="36" t="str">
        <x:v>4</x:v>
      </x:c>
      <x:c r="C39" s="36" t="str">
        <x:v>III</x:v>
      </x:c>
      <x:c r="D39" s="42" t="str">
        <x:v>1.264036142972</x:v>
      </x:c>
      <x:c r="E39" s="42" t="str">
        <x:v>1.250000</x:v>
      </x:c>
      <x:c r="F39" s="42" t="str">
        <x:v>0.014036142972</x:v>
      </x:c>
      <x:c r="G39" s="42" t="str">
        <x:v>0.014036142972</x:v>
      </x:c>
      <x:c r="H39" s="36" t="str">
        <x:v>PASS</x:v>
      </x:c>
    </x:row>
    <x:row r="40" ht="15" hidden="0" customHeight="1">
      <x:c r="A40" s="36" t="str">
        <x:v>CP2K-native pbc provider</x:v>
      </x:c>
      <x:c r="B40" s="36" t="str">
        <x:v>4</x:v>
      </x:c>
      <x:c r="C40" s="36" t="str">
        <x:v>IV</x:v>
      </x:c>
      <x:c r="D40" s="42" t="str">
        <x:v>1.405718427516</x:v>
      </x:c>
      <x:c r="E40" s="42" t="str">
        <x:v>3.830000</x:v>
      </x:c>
      <x:c r="F40" s="42" t="str">
        <x:v>-2.424281572484</x:v>
      </x:c>
      <x:c r="G40" s="42" t="str">
        <x:v>2.424281572484</x:v>
      </x:c>
      <x:c r="H40" s="36" t="str">
        <x:v>PASS</x:v>
      </x:c>
    </x:row>
    <x:row r="41" ht="15" hidden="0" customHeight="1">
      <x:c r="A41" s="36" t="str">
        <x:v>CP2K-native pbc provider</x:v>
      </x:c>
      <x:c r="B41" s="36" t="str">
        <x:v>4</x:v>
      </x:c>
      <x:c r="C41" s="36" t="str">
        <x:v>VI</x:v>
      </x:c>
      <x:c r="D41" s="42" t="str">
        <x:v>-1.048055217778</x:v>
      </x:c>
      <x:c r="E41" s="42" t="str">
        <x:v>1.780000</x:v>
      </x:c>
      <x:c r="F41" s="42" t="str">
        <x:v>-2.828055217778</x:v>
      </x:c>
      <x:c r="G41" s="42" t="str">
        <x:v>2.828055217778</x:v>
      </x:c>
      <x:c r="H41" s="36" t="str">
        <x:v>PASS</x:v>
      </x:c>
    </x:row>
    <x:row r="42" ht="15" hidden="0" customHeight="1">
      <x:c r="A42" s="36" t="str">
        <x:v>CP2K-native pbc provider</x:v>
      </x:c>
      <x:c r="B42" s="36" t="str">
        <x:v>4</x:v>
      </x:c>
      <x:c r="C42" s="36" t="str">
        <x:v>VII</x:v>
      </x:c>
      <x:c r="D42" s="42" t="str">
        <x:v>-63.955253819072</x:v>
      </x:c>
      <x:c r="E42" s="42" t="str">
        <x:v>4.990000</x:v>
      </x:c>
      <x:c r="F42" s="42" t="str">
        <x:v>-68.945253819072</x:v>
      </x:c>
      <x:c r="G42" s="42" t="str">
        <x:v>68.945253819072</x:v>
      </x:c>
      <x:c r="H42" s="36" t="str">
        <x:v>PASS</x:v>
      </x:c>
    </x:row>
    <x:row r="43" ht="15" hidden="0" customHeight="1">
      <x:c r="A43" s="36" t="str">
        <x:v>CP2K-native pbc provider</x:v>
      </x:c>
      <x:c r="B43" s="36" t="str">
        <x:v>4</x:v>
      </x:c>
      <x:c r="C43" s="36" t="str">
        <x:v>VIII</x:v>
      </x:c>
      <x:c r="D43" s="42" t="str">
        <x:v>-6.163477349517</x:v>
      </x:c>
      <x:c r="E43" s="42" t="str">
        <x:v>4.230000</x:v>
      </x:c>
      <x:c r="F43" s="42" t="str">
        <x:v>-10.393477349517</x:v>
      </x:c>
      <x:c r="G43" s="42" t="str">
        <x:v>10.393477349517</x:v>
      </x:c>
      <x:c r="H43" s="36" t="str">
        <x:v>PASS</x:v>
      </x:c>
    </x:row>
    <x:row r="44" ht="15" hidden="0" customHeight="1">
      <x:c r="A44" s="36" t="str">
        <x:v>CP2K-native pbc provider</x:v>
      </x:c>
      <x:c r="B44" s="36" t="str">
        <x:v>4</x:v>
      </x:c>
      <x:c r="C44" s="36" t="str">
        <x:v>IX</x:v>
      </x:c>
      <x:c r="D44" s="42" t="str">
        <x:v>-0.372870780640</x:v>
      </x:c>
      <x:c r="E44" s="42" t="str">
        <x:v>0.600000</x:v>
      </x:c>
      <x:c r="F44" s="42" t="str">
        <x:v>-0.972870780640</x:v>
      </x:c>
      <x:c r="G44" s="42" t="str">
        <x:v>0.972870780640</x:v>
      </x:c>
      <x:c r="H44" s="36" t="str">
        <x:v>PASS</x:v>
      </x:c>
    </x:row>
    <x:row r="45" ht="15" hidden="0" customHeight="1">
      <x:c r="A45" s="36" t="str">
        <x:v>CP2K-native pbc provider</x:v>
      </x:c>
      <x:c r="B45" s="36" t="str">
        <x:v>4</x:v>
      </x:c>
      <x:c r="C45" s="36" t="str">
        <x:v>XI</x:v>
      </x:c>
      <x:c r="D45" s="42" t="str">
        <x:v>-14.875006645914</x:v>
      </x:c>
      <x:c r="E45" s="42" t="str">
        <x:v>0.160000</x:v>
      </x:c>
      <x:c r="F45" s="42" t="str">
        <x:v>-15.035006645914</x:v>
      </x:c>
      <x:c r="G45" s="42" t="str">
        <x:v>15.035006645914</x:v>
      </x:c>
      <x:c r="H45" s="36" t="str">
        <x:v>PASS</x:v>
      </x:c>
    </x:row>
    <x:row r="46" ht="15" hidden="0" customHeight="1">
      <x:c r="A46" s="36" t="str">
        <x:v>CP2K-native pbc provider</x:v>
      </x:c>
      <x:c r="B46" s="36" t="str">
        <x:v>4</x:v>
      </x:c>
      <x:c r="C46" s="36" t="str">
        <x:v>XIII</x:v>
      </x:c>
      <x:c r="D46" s="42" t="str">
        <x:v>0.123067620531</x:v>
      </x:c>
      <x:c r="E46" s="42" t="str">
        <x:v>2.120000</x:v>
      </x:c>
      <x:c r="F46" s="42" t="str">
        <x:v>-1.996932379469</x:v>
      </x:c>
      <x:c r="G46" s="42" t="str">
        <x:v>1.996932379469</x:v>
      </x:c>
      <x:c r="H46" s="36" t="str">
        <x:v>PASS</x:v>
      </x:c>
    </x:row>
    <x:row r="47" ht="15" hidden="0" customHeight="1">
      <x:c r="A47" s="36" t="str">
        <x:v>CP2K-native pbc provider</x:v>
      </x:c>
      <x:c r="B47" s="36" t="str">
        <x:v>4</x:v>
      </x:c>
      <x:c r="C47" s="36" t="str">
        <x:v>XIV</x:v>
      </x:c>
      <x:c r="D47" s="42" t="str">
        <x:v>-23.938100045934</x:v>
      </x:c>
      <x:c r="E47" s="42" t="str">
        <x:v>1.700000</x:v>
      </x:c>
      <x:c r="F47" s="42" t="str">
        <x:v>-25.638100045934</x:v>
      </x:c>
      <x:c r="G47" s="42" t="str">
        <x:v>25.638100045934</x:v>
      </x:c>
      <x:c r="H47" s="36" t="str">
        <x:v>PASS</x:v>
      </x:c>
    </x:row>
    <x:row r="48" ht="15" hidden="0" customHeight="1">
      <x:c r="A48" s="36" t="str">
        <x:v>CP2K-native pbc provider</x:v>
      </x:c>
      <x:c r="B48" s="36" t="str">
        <x:v>4</x:v>
      </x:c>
      <x:c r="C48" s="36" t="str">
        <x:v>XV</x:v>
      </x:c>
      <x:c r="D48" s="42" t="str">
        <x:v>-1.097387628033</x:v>
      </x:c>
      <x:c r="E48" s="42" t="str">
        <x:v>1.740000</x:v>
      </x:c>
      <x:c r="F48" s="42" t="str">
        <x:v>-2.837387628033</x:v>
      </x:c>
      <x:c r="G48" s="42" t="str">
        <x:v>2.837387628033</x:v>
      </x:c>
      <x:c r="H48" s="36" t="str">
        <x:v>PASS</x:v>
      </x:c>
    </x:row>
    <x:row r="49" ht="15" hidden="0" customHeight="1">
      <x:c r="A49" s="36" t="str">
        <x:v>CP2K-native pbc provider</x:v>
      </x:c>
      <x:c r="B49" s="36" t="str">
        <x:v>4</x:v>
      </x:c>
      <x:c r="C49" s="36" t="str">
        <x:v>XVII</x:v>
      </x:c>
      <x:c r="D49" s="42" t="str">
        <x:v>-0.727224094238</x:v>
      </x:c>
      <x:c r="E49" s="42" t="str">
        <x:v>1.750000</x:v>
      </x:c>
      <x:c r="F49" s="42" t="str">
        <x:v>-2.477224094238</x:v>
      </x:c>
      <x:c r="G49" s="42" t="str">
        <x:v>2.477224094238</x:v>
      </x:c>
      <x:c r="H49" s="36" t="str">
        <x:v>PASS</x:v>
      </x:c>
    </x:row>
    <x:row r="50" ht="15" hidden="0" customHeight="1">
      <x:c r="A50" s="36" t="str">
        <x:v>CP2K-native pbc provider</x:v>
      </x:c>
      <x:c r="B50" s="36" t="str">
        <x:v>5</x:v>
      </x:c>
      <x:c r="C50" s="36" t="str">
        <x:v>II</x:v>
      </x:c>
      <x:c r="D50" s="42" t="str">
        <x:v>-1.751209197801</x:v>
      </x:c>
      <x:c r="E50" s="42" t="str">
        <x:v>0.310000</x:v>
      </x:c>
      <x:c r="F50" s="42" t="str">
        <x:v>-2.061209197801</x:v>
      </x:c>
      <x:c r="G50" s="42" t="str">
        <x:v>2.061209197801</x:v>
      </x:c>
      <x:c r="H50" s="36" t="str">
        <x:v>PASS</x:v>
      </x:c>
    </x:row>
    <x:row r="51" ht="15" hidden="0" customHeight="1">
      <x:c r="A51" s="36" t="str">
        <x:v>CP2K-native pbc provider</x:v>
      </x:c>
      <x:c r="B51" s="36" t="str">
        <x:v>5</x:v>
      </x:c>
      <x:c r="C51" s="36" t="str">
        <x:v>III</x:v>
      </x:c>
      <x:c r="D51" s="42" t="str">
        <x:v>1.637489090846</x:v>
      </x:c>
      <x:c r="E51" s="42" t="str">
        <x:v>1.250000</x:v>
      </x:c>
      <x:c r="F51" s="42" t="str">
        <x:v>0.387489090846</x:v>
      </x:c>
      <x:c r="G51" s="42" t="str">
        <x:v>0.387489090846</x:v>
      </x:c>
      <x:c r="H51" s="36" t="str">
        <x:v>PASS</x:v>
      </x:c>
    </x:row>
    <x:row r="52" ht="15" hidden="0" customHeight="1">
      <x:c r="A52" s="36" t="str">
        <x:v>CP2K-native pbc provider</x:v>
      </x:c>
      <x:c r="B52" s="36" t="str">
        <x:v>5</x:v>
      </x:c>
      <x:c r="C52" s="36" t="str">
        <x:v>IV</x:v>
      </x:c>
      <x:c r="D52" s="42" t="str">
        <x:v>1.286795887227</x:v>
      </x:c>
      <x:c r="E52" s="42" t="str">
        <x:v>3.830000</x:v>
      </x:c>
      <x:c r="F52" s="42" t="str">
        <x:v>-2.543204112773</x:v>
      </x:c>
      <x:c r="G52" s="42" t="str">
        <x:v>2.543204112773</x:v>
      </x:c>
      <x:c r="H52" s="36" t="str">
        <x:v>PASS</x:v>
      </x:c>
    </x:row>
    <x:row r="53" ht="15" hidden="0" customHeight="1">
      <x:c r="A53" s="36" t="str">
        <x:v>CP2K-native pbc provider</x:v>
      </x:c>
      <x:c r="B53" s="36" t="str">
        <x:v>5</x:v>
      </x:c>
      <x:c r="C53" s="36" t="str">
        <x:v>VI</x:v>
      </x:c>
      <x:c r="D53" s="42" t="str">
        <x:v>0.455318480049</x:v>
      </x:c>
      <x:c r="E53" s="42" t="str">
        <x:v>1.780000</x:v>
      </x:c>
      <x:c r="F53" s="42" t="str">
        <x:v>-1.324681519951</x:v>
      </x:c>
      <x:c r="G53" s="42" t="str">
        <x:v>1.324681519951</x:v>
      </x:c>
      <x:c r="H53" s="36" t="str">
        <x:v>PASS</x:v>
      </x:c>
    </x:row>
    <x:row r="54" ht="15" hidden="0" customHeight="1">
      <x:c r="A54" s="36" t="str">
        <x:v>CP2K-native pbc provider</x:v>
      </x:c>
      <x:c r="B54" s="36" t="str">
        <x:v>5</x:v>
      </x:c>
      <x:c r="C54" s="36" t="str">
        <x:v>VII</x:v>
      </x:c>
      <x:c r="D54" s="42" t="str">
        <x:v>-21.860960292900</x:v>
      </x:c>
      <x:c r="E54" s="42" t="str">
        <x:v>4.990000</x:v>
      </x:c>
      <x:c r="F54" s="42" t="str">
        <x:v>-26.850960292900</x:v>
      </x:c>
      <x:c r="G54" s="42" t="str">
        <x:v>26.850960292900</x:v>
      </x:c>
      <x:c r="H54" s="36" t="str">
        <x:v>PASS</x:v>
      </x:c>
    </x:row>
    <x:row r="55" ht="15" hidden="0" customHeight="1">
      <x:c r="A55" s="36" t="str">
        <x:v>CP2K-native pbc provider</x:v>
      </x:c>
      <x:c r="B55" s="36" t="str">
        <x:v>5</x:v>
      </x:c>
      <x:c r="C55" s="36" t="str">
        <x:v>VIII</x:v>
      </x:c>
      <x:c r="D55" s="42" t="str">
        <x:v>0.489976040174</x:v>
      </x:c>
      <x:c r="E55" s="42" t="str">
        <x:v>4.230000</x:v>
      </x:c>
      <x:c r="F55" s="42" t="str">
        <x:v>-3.740023959826</x:v>
      </x:c>
      <x:c r="G55" s="42" t="str">
        <x:v>3.740023959826</x:v>
      </x:c>
      <x:c r="H55" s="36" t="str">
        <x:v>PASS</x:v>
      </x:c>
    </x:row>
    <x:row r="56" ht="15" hidden="0" customHeight="1">
      <x:c r="A56" s="36" t="str">
        <x:v>CP2K-native pbc provider</x:v>
      </x:c>
      <x:c r="B56" s="36" t="str">
        <x:v>5</x:v>
      </x:c>
      <x:c r="C56" s="36" t="str">
        <x:v>IX</x:v>
      </x:c>
      <x:c r="D56" s="42" t="str">
        <x:v>-0.167194869264</x:v>
      </x:c>
      <x:c r="E56" s="42" t="str">
        <x:v>0.600000</x:v>
      </x:c>
      <x:c r="F56" s="42" t="str">
        <x:v>-0.767194869264</x:v>
      </x:c>
      <x:c r="G56" s="42" t="str">
        <x:v>0.767194869264</x:v>
      </x:c>
      <x:c r="H56" s="36" t="str">
        <x:v>PASS</x:v>
      </x:c>
    </x:row>
    <x:row r="57" ht="15" hidden="0" customHeight="1">
      <x:c r="A57" s="36" t="str">
        <x:v>CP2K-native pbc provider</x:v>
      </x:c>
      <x:c r="B57" s="36" t="str">
        <x:v>5</x:v>
      </x:c>
      <x:c r="C57" s="36" t="str">
        <x:v>XI</x:v>
      </x:c>
      <x:c r="D57" s="42" t="str">
        <x:v>-2.561509806027</x:v>
      </x:c>
      <x:c r="E57" s="42" t="str">
        <x:v>0.160000</x:v>
      </x:c>
      <x:c r="F57" s="42" t="str">
        <x:v>-2.721509806027</x:v>
      </x:c>
      <x:c r="G57" s="42" t="str">
        <x:v>2.721509806027</x:v>
      </x:c>
      <x:c r="H57" s="36" t="str">
        <x:v>PASS</x:v>
      </x:c>
    </x:row>
    <x:row r="58" ht="15" hidden="0" customHeight="1">
      <x:c r="A58" s="36" t="str">
        <x:v>CP2K-native pbc provider</x:v>
      </x:c>
      <x:c r="B58" s="36" t="str">
        <x:v>5</x:v>
      </x:c>
      <x:c r="C58" s="36" t="str">
        <x:v>XIII</x:v>
      </x:c>
      <x:c r="D58" s="42" t="str">
        <x:v>0.056163127084</x:v>
      </x:c>
      <x:c r="E58" s="42" t="str">
        <x:v>2.120000</x:v>
      </x:c>
      <x:c r="F58" s="42" t="str">
        <x:v>-2.063836872916</x:v>
      </x:c>
      <x:c r="G58" s="42" t="str">
        <x:v>2.063836872916</x:v>
      </x:c>
      <x:c r="H58" s="36" t="str">
        <x:v>PASS</x:v>
      </x:c>
    </x:row>
    <x:row r="59" ht="15" hidden="0" customHeight="1">
      <x:c r="A59" s="36" t="str">
        <x:v>CP2K-native pbc provider</x:v>
      </x:c>
      <x:c r="B59" s="36" t="str">
        <x:v>5</x:v>
      </x:c>
      <x:c r="C59" s="36" t="str">
        <x:v>XIV</x:v>
      </x:c>
      <x:c r="D59" s="42" t="str">
        <x:v>-5.462219419517</x:v>
      </x:c>
      <x:c r="E59" s="42" t="str">
        <x:v>1.700000</x:v>
      </x:c>
      <x:c r="F59" s="42" t="str">
        <x:v>-7.162219419517</x:v>
      </x:c>
      <x:c r="G59" s="42" t="str">
        <x:v>7.162219419517</x:v>
      </x:c>
      <x:c r="H59" s="36" t="str">
        <x:v>PASS</x:v>
      </x:c>
    </x:row>
    <x:row r="60" ht="15" hidden="0" customHeight="1">
      <x:c r="A60" s="36" t="str">
        <x:v>CP2K-native pbc provider</x:v>
      </x:c>
      <x:c r="B60" s="36" t="str">
        <x:v>5</x:v>
      </x:c>
      <x:c r="C60" s="36" t="str">
        <x:v>XV</x:v>
      </x:c>
      <x:c r="D60" s="42" t="str">
        <x:v>0.436613107080</x:v>
      </x:c>
      <x:c r="E60" s="42" t="str">
        <x:v>1.740000</x:v>
      </x:c>
      <x:c r="F60" s="42" t="str">
        <x:v>-1.303386892920</x:v>
      </x:c>
      <x:c r="G60" s="42" t="str">
        <x:v>1.303386892920</x:v>
      </x:c>
      <x:c r="H60" s="36" t="str">
        <x:v>PASS</x:v>
      </x:c>
    </x:row>
    <x:row r="61" ht="15" hidden="0" customHeight="1">
      <x:c r="A61" s="36" t="str">
        <x:v>CP2K-native pbc provider</x:v>
      </x:c>
      <x:c r="B61" s="36" t="str">
        <x:v>5</x:v>
      </x:c>
      <x:c r="C61" s="36" t="str">
        <x:v>XVII</x:v>
      </x:c>
      <x:c r="D61" s="42" t="str">
        <x:v>0.518654375510</x:v>
      </x:c>
      <x:c r="E61" s="42" t="str">
        <x:v>1.750000</x:v>
      </x:c>
      <x:c r="F61" s="42" t="str">
        <x:v>-1.231345624490</x:v>
      </x:c>
      <x:c r="G61" s="42" t="str">
        <x:v>1.231345624490</x:v>
      </x:c>
      <x:c r="H61" s="36" t="str">
        <x:v>PASS</x:v>
      </x:c>
    </x:row>
    <x:row r="62" ht="15" hidden="0" customHeight="1">
      <x:c r="A62" s="36" t="str">
        <x:v>CP2K-native pbc provider</x:v>
      </x:c>
      <x:c r="B62" s="36" t="str">
        <x:v>6</x:v>
      </x:c>
      <x:c r="C62" s="36" t="str">
        <x:v>II</x:v>
      </x:c>
      <x:c r="D62" s="42" t="str">
        <x:v>-1.673140435542</x:v>
      </x:c>
      <x:c r="E62" s="42" t="str">
        <x:v>0.310000</x:v>
      </x:c>
      <x:c r="F62" s="42" t="str">
        <x:v>-1.983140435542</x:v>
      </x:c>
      <x:c r="G62" s="42" t="str">
        <x:v>1.983140435542</x:v>
      </x:c>
      <x:c r="H62" s="36" t="str">
        <x:v>PASS</x:v>
      </x:c>
    </x:row>
    <x:row r="63" ht="15" hidden="0" customHeight="1">
      <x:c r="A63" s="36" t="str">
        <x:v>CP2K-native pbc provider</x:v>
      </x:c>
      <x:c r="B63" s="36" t="str">
        <x:v>6</x:v>
      </x:c>
      <x:c r="C63" s="36" t="str">
        <x:v>III</x:v>
      </x:c>
      <x:c r="D63" s="42" t="str">
        <x:v>1.672165228326</x:v>
      </x:c>
      <x:c r="E63" s="42" t="str">
        <x:v>1.250000</x:v>
      </x:c>
      <x:c r="F63" s="42" t="str">
        <x:v>0.422165228326</x:v>
      </x:c>
      <x:c r="G63" s="42" t="str">
        <x:v>0.422165228326</x:v>
      </x:c>
      <x:c r="H63" s="36" t="str">
        <x:v>PASS</x:v>
      </x:c>
    </x:row>
    <x:row r="64" ht="15" hidden="0" customHeight="1">
      <x:c r="A64" s="36" t="str">
        <x:v>CP2K-native pbc provider</x:v>
      </x:c>
      <x:c r="B64" s="36" t="str">
        <x:v>6</x:v>
      </x:c>
      <x:c r="C64" s="36" t="str">
        <x:v>IV</x:v>
      </x:c>
      <x:c r="D64" s="42" t="str">
        <x:v>1.278275951726</x:v>
      </x:c>
      <x:c r="E64" s="42" t="str">
        <x:v>3.830000</x:v>
      </x:c>
      <x:c r="F64" s="42" t="str">
        <x:v>-2.551724048274</x:v>
      </x:c>
      <x:c r="G64" s="42" t="str">
        <x:v>2.551724048274</x:v>
      </x:c>
      <x:c r="H64" s="36" t="str">
        <x:v>PASS</x:v>
      </x:c>
    </x:row>
    <x:row r="65" ht="15" hidden="0" customHeight="1">
      <x:c r="A65" s="36" t="str">
        <x:v>CP2K-native pbc provider</x:v>
      </x:c>
      <x:c r="B65" s="36" t="str">
        <x:v>6</x:v>
      </x:c>
      <x:c r="C65" s="36" t="str">
        <x:v>VI</x:v>
      </x:c>
      <x:c r="D65" s="42" t="str">
        <x:v>0.630350366028</x:v>
      </x:c>
      <x:c r="E65" s="42" t="str">
        <x:v>1.780000</x:v>
      </x:c>
      <x:c r="F65" s="42" t="str">
        <x:v>-1.149649633972</x:v>
      </x:c>
      <x:c r="G65" s="42" t="str">
        <x:v>1.149649633972</x:v>
      </x:c>
      <x:c r="H65" s="36" t="str">
        <x:v>PASS</x:v>
      </x:c>
    </x:row>
    <x:row r="66" ht="15" hidden="0" customHeight="1">
      <x:c r="A66" s="36" t="str">
        <x:v>CP2K-native pbc provider</x:v>
      </x:c>
      <x:c r="B66" s="36" t="str">
        <x:v>6</x:v>
      </x:c>
      <x:c r="C66" s="36" t="str">
        <x:v>VII</x:v>
      </x:c>
      <x:c r="D66" s="42" t="str">
        <x:v>-6.584448779061</x:v>
      </x:c>
      <x:c r="E66" s="42" t="str">
        <x:v>4.990000</x:v>
      </x:c>
      <x:c r="F66" s="42" t="str">
        <x:v>-11.574448779061</x:v>
      </x:c>
      <x:c r="G66" s="42" t="str">
        <x:v>11.574448779061</x:v>
      </x:c>
      <x:c r="H66" s="36" t="str">
        <x:v>PASS</x:v>
      </x:c>
    </x:row>
    <x:row r="67" ht="15" hidden="0" customHeight="1">
      <x:c r="A67" s="36" t="str">
        <x:v>CP2K-native pbc provider</x:v>
      </x:c>
      <x:c r="B67" s="36" t="str">
        <x:v>6</x:v>
      </x:c>
      <x:c r="C67" s="36" t="str">
        <x:v>VIII</x:v>
      </x:c>
      <x:c r="D67" s="42" t="str">
        <x:v>1.605099765336</x:v>
      </x:c>
      <x:c r="E67" s="42" t="str">
        <x:v>4.230000</x:v>
      </x:c>
      <x:c r="F67" s="42" t="str">
        <x:v>-2.624900234664</x:v>
      </x:c>
      <x:c r="G67" s="42" t="str">
        <x:v>2.624900234664</x:v>
      </x:c>
      <x:c r="H67" s="36" t="str">
        <x:v>PASS</x:v>
      </x:c>
    </x:row>
    <x:row r="68" ht="15" hidden="0" customHeight="1">
      <x:c r="A68" s="36" t="str">
        <x:v>CP2K-native pbc provider</x:v>
      </x:c>
      <x:c r="B68" s="36" t="str">
        <x:v>6</x:v>
      </x:c>
      <x:c r="C68" s="36" t="str">
        <x:v>IX</x:v>
      </x:c>
      <x:c r="D68" s="42" t="str">
        <x:v>-0.149213410206</x:v>
      </x:c>
      <x:c r="E68" s="42" t="str">
        <x:v>0.600000</x:v>
      </x:c>
      <x:c r="F68" s="42" t="str">
        <x:v>-0.749213410206</x:v>
      </x:c>
      <x:c r="G68" s="42" t="str">
        <x:v>0.749213410206</x:v>
      </x:c>
      <x:c r="H68" s="36" t="str">
        <x:v>PASS</x:v>
      </x:c>
    </x:row>
    <x:row r="69" ht="15" hidden="0" customHeight="1">
      <x:c r="A69" s="36" t="str">
        <x:v>CP2K-native pbc provider</x:v>
      </x:c>
      <x:c r="B69" s="36" t="str">
        <x:v>6</x:v>
      </x:c>
      <x:c r="C69" s="36" t="str">
        <x:v>XI</x:v>
      </x:c>
      <x:c r="D69" s="42" t="str">
        <x:v>-0.054671152098</x:v>
      </x:c>
      <x:c r="E69" s="42" t="str">
        <x:v>0.160000</x:v>
      </x:c>
      <x:c r="F69" s="42" t="str">
        <x:v>-0.214671152098</x:v>
      </x:c>
      <x:c r="G69" s="42" t="str">
        <x:v>0.214671152098</x:v>
      </x:c>
      <x:c r="H69" s="36" t="str">
        <x:v>PASS</x:v>
      </x:c>
    </x:row>
    <x:row r="70" ht="15" hidden="0" customHeight="1">
      <x:c r="A70" s="36" t="str">
        <x:v>CP2K-native pbc provider</x:v>
      </x:c>
      <x:c r="B70" s="36" t="str">
        <x:v>6</x:v>
      </x:c>
      <x:c r="C70" s="36" t="str">
        <x:v>XIV</x:v>
      </x:c>
      <x:c r="D70" s="42" t="str">
        <x:v>-1.064873294721</x:v>
      </x:c>
      <x:c r="E70" s="42" t="str">
        <x:v>1.700000</x:v>
      </x:c>
      <x:c r="F70" s="42" t="str">
        <x:v>-2.764873294721</x:v>
      </x:c>
      <x:c r="G70" s="42" t="str">
        <x:v>2.764873294721</x:v>
      </x:c>
      <x:c r="H70" s="36" t="str">
        <x:v>PASS</x:v>
      </x:c>
    </x:row>
    <x:row r="71" ht="15" hidden="0" customHeight="1">
      <x:c r="A71" s="36" t="str">
        <x:v>CP2K-native pbc provider</x:v>
      </x:c>
      <x:c r="B71" s="36" t="str">
        <x:v>6</x:v>
      </x:c>
      <x:c r="C71" s="36" t="str">
        <x:v>XV</x:v>
      </x:c>
      <x:c r="D71" s="42" t="str">
        <x:v>0.615966711167</x:v>
      </x:c>
      <x:c r="E71" s="42" t="str">
        <x:v>1.740000</x:v>
      </x:c>
      <x:c r="F71" s="42" t="str">
        <x:v>-1.124033288833</x:v>
      </x:c>
      <x:c r="G71" s="42" t="str">
        <x:v>1.124033288833</x:v>
      </x:c>
      <x:c r="H71" s="36" t="str">
        <x:v>PASS</x:v>
      </x:c>
    </x:row>
    <x:row r="72" ht="15" hidden="0" customHeight="1">
      <x:c r="A72" s="36" t="str">
        <x:v>CP2K-native pbc provider</x:v>
      </x:c>
      <x:c r="B72" s="36" t="str">
        <x:v>6</x:v>
      </x:c>
      <x:c r="C72" s="36" t="str">
        <x:v>XVII</x:v>
      </x:c>
      <x:c r="D72" s="42" t="str">
        <x:v>0.657455557145</x:v>
      </x:c>
      <x:c r="E72" s="42" t="str">
        <x:v>1.750000</x:v>
      </x:c>
      <x:c r="F72" s="42" t="str">
        <x:v>-1.092544442855</x:v>
      </x:c>
      <x:c r="G72" s="42" t="str">
        <x:v>1.092544442855</x:v>
      </x:c>
      <x:c r="H72" s="36" t="str">
        <x:v>PASS</x:v>
      </x:c>
    </x:row>
    <x:row r="73" ht="15" hidden="0" customHeight="1">
      <x:c r="A73" s="36" t="str">
        <x:v>CP2K-native pbc provider</x:v>
      </x:c>
      <x:c r="B73" s="36" t="str">
        <x:v>7</x:v>
      </x:c>
      <x:c r="C73" s="36" t="str">
        <x:v>VI</x:v>
      </x:c>
      <x:c r="D73" s="42" t="str">
        <x:v>0.649689340153</x:v>
      </x:c>
      <x:c r="E73" s="42" t="str">
        <x:v>1.780000</x:v>
      </x:c>
      <x:c r="F73" s="42" t="str">
        <x:v>-1.130310659847</x:v>
      </x:c>
      <x:c r="G73" s="42" t="str">
        <x:v>1.130310659847</x:v>
      </x:c>
      <x:c r="H73" s="36" t="str">
        <x:v>PASS</x:v>
      </x:c>
    </x:row>
    <x:row r="74" ht="15" hidden="0" customHeight="1">
      <x:c r="A74" s="36" t="str">
        <x:v>CP2K-native pbc provider</x:v>
      </x:c>
      <x:c r="B74" s="36" t="str">
        <x:v>7</x:v>
      </x:c>
      <x:c r="C74" s="36" t="str">
        <x:v>VII</x:v>
      </x:c>
      <x:c r="D74" s="42" t="str">
        <x:v>-1.826161947227</x:v>
      </x:c>
      <x:c r="E74" s="42" t="str">
        <x:v>4.990000</x:v>
      </x:c>
      <x:c r="F74" s="42" t="str">
        <x:v>-6.816161947227</x:v>
      </x:c>
      <x:c r="G74" s="42" t="str">
        <x:v>6.816161947227</x:v>
      </x:c>
      <x:c r="H74" s="36" t="str">
        <x:v>PASS</x:v>
      </x:c>
    </x:row>
    <x:row r="75" ht="15" hidden="0" customHeight="1">
      <x:c r="A75" s="36" t="str">
        <x:v>CP2K-native pbc provider</x:v>
      </x:c>
      <x:c r="B75" s="36" t="str">
        <x:v>7</x:v>
      </x:c>
      <x:c r="C75" s="36" t="str">
        <x:v>VIII</x:v>
      </x:c>
      <x:c r="D75" s="42" t="str">
        <x:v>1.782418369861</x:v>
      </x:c>
      <x:c r="E75" s="42" t="str">
        <x:v>4.230000</x:v>
      </x:c>
      <x:c r="F75" s="42" t="str">
        <x:v>-2.447581630139</x:v>
      </x:c>
      <x:c r="G75" s="42" t="str">
        <x:v>2.447581630139</x:v>
      </x:c>
      <x:c r="H75" s="36" t="str">
        <x:v>PASS</x:v>
      </x:c>
    </x:row>
    <x:row r="76" ht="15" hidden="0" customHeight="1">
      <x:c r="A76" s="36" t="str">
        <x:v>CP2K-native pbc provider</x:v>
      </x:c>
      <x:c r="B76" s="36" t="str">
        <x:v>7</x:v>
      </x:c>
      <x:c r="C76" s="36" t="str">
        <x:v>XIV</x:v>
      </x:c>
      <x:c r="D76" s="42" t="str">
        <x:v>-0.111024864121</x:v>
      </x:c>
      <x:c r="E76" s="42" t="str">
        <x:v>1.700000</x:v>
      </x:c>
      <x:c r="F76" s="42" t="str">
        <x:v>-1.811024864121</x:v>
      </x:c>
      <x:c r="G76" s="42" t="str">
        <x:v>1.811024864121</x:v>
      </x:c>
      <x:c r="H76" s="36" t="str">
        <x:v>PASS</x:v>
      </x:c>
    </x:row>
    <x:row r="77" ht="15" hidden="0" customHeight="1">
      <x:c r="A77" s="36" t="str">
        <x:v>CP2K-native pbc provider</x:v>
      </x:c>
      <x:c r="B77" s="36" t="str">
        <x:v>7</x:v>
      </x:c>
      <x:c r="C77" s="36" t="str">
        <x:v>XV</x:v>
      </x:c>
      <x:c r="D77" s="42" t="str">
        <x:v>0.635864765327</x:v>
      </x:c>
      <x:c r="E77" s="42" t="str">
        <x:v>1.740000</x:v>
      </x:c>
      <x:c r="F77" s="42" t="str">
        <x:v>-1.104135234673</x:v>
      </x:c>
      <x:c r="G77" s="42" t="str">
        <x:v>1.104135234673</x:v>
      </x:c>
      <x:c r="H77" s="36" t="str">
        <x:v>PASS</x:v>
      </x:c>
    </x:row>
    <x:row r="78" ht="15" hidden="0" customHeight="1">
      <x:c r="A78" s="36" t="str">
        <x:v>CP2K-native pbc provider</x:v>
      </x:c>
      <x:c r="B78" s="36" t="str">
        <x:v>7</x:v>
      </x:c>
      <x:c r="C78" s="36" t="str">
        <x:v>XVII</x:v>
      </x:c>
      <x:c r="D78" s="42" t="str">
        <x:v>0.672285685199</x:v>
      </x:c>
      <x:c r="E78" s="42" t="str">
        <x:v>1.750000</x:v>
      </x:c>
      <x:c r="F78" s="42" t="str">
        <x:v>-1.077714314801</x:v>
      </x:c>
      <x:c r="G78" s="42" t="str">
        <x:v>1.077714314801</x:v>
      </x:c>
      <x:c r="H78" s="36" t="str">
        <x:v>PASS</x:v>
      </x:c>
    </x:row>
    <x:row r="79" ht="15" hidden="0" customHeight="1">
      <x:c r="A79" s="36" t="str">
        <x:v>CP2K-native pbc provider</x:v>
      </x:c>
      <x:c r="B79" s="36" t="str">
        <x:v>8</x:v>
      </x:c>
      <x:c r="C79" s="36" t="str">
        <x:v>VII</x:v>
      </x:c>
      <x:c r="D79" s="42" t="str">
        <x:v>-0.441453685894</x:v>
      </x:c>
      <x:c r="E79" s="42" t="str">
        <x:v>4.990000</x:v>
      </x:c>
      <x:c r="F79" s="42" t="str">
        <x:v>-5.431453685894</x:v>
      </x:c>
      <x:c r="G79" s="42" t="str">
        <x:v>5.431453685894</x:v>
      </x:c>
      <x:c r="H79" s="36" t="str">
        <x:v>PASS</x:v>
      </x:c>
    </x:row>
    <x:row r="80" ht="15" hidden="0" customHeight="1">
      <x:c r="A80" s="36" t="str">
        <x:v>CP2K-native pbc provider</x:v>
      </x:c>
      <x:c r="B80" s="36" t="str">
        <x:v>8</x:v>
      </x:c>
      <x:c r="C80" s="36" t="str">
        <x:v>VIII</x:v>
      </x:c>
      <x:c r="D80" s="42" t="str">
        <x:v>1.810235969010</x:v>
      </x:c>
      <x:c r="E80" s="42" t="str">
        <x:v>4.230000</x:v>
      </x:c>
      <x:c r="F80" s="42" t="str">
        <x:v>-2.419764030990</x:v>
      </x:c>
      <x:c r="G80" s="42" t="str">
        <x:v>2.419764030990</x:v>
      </x:c>
      <x:c r="H80" s="36" t="str">
        <x:v>PASS</x:v>
      </x:c>
    </x:row>
    <x:row r="81" ht="15" hidden="0" customHeight="1">
      <x:c r="A81" s="36" t="str">
        <x:v>CP2K-native pbc provider</x:v>
      </x:c>
      <x:c r="B81" s="36" t="str">
        <x:v>8</x:v>
      </x:c>
      <x:c r="C81" s="36" t="str">
        <x:v>XIV</x:v>
      </x:c>
      <x:c r="D81" s="42" t="str">
        <x:v>0.090455358961</x:v>
      </x:c>
      <x:c r="E81" s="42" t="str">
        <x:v>1.700000</x:v>
      </x:c>
      <x:c r="F81" s="42" t="str">
        <x:v>-1.609544641039</x:v>
      </x:c>
      <x:c r="G81" s="42" t="str">
        <x:v>1.609544641039</x:v>
      </x:c>
      <x:c r="H81" s="36" t="str">
        <x:v>PASS</x:v>
      </x:c>
    </x:row>
    <x:row r="82" ht="15" hidden="0" customHeight="1">
      <x:c r="A82" s="36" t="str">
        <x:v>author pbc CLI</x:v>
      </x:c>
      <x:c r="B82" s="36" t="str">
        <x:v>2</x:v>
      </x:c>
      <x:c r="C82" s="36" t="str">
        <x:v>II</x:v>
      </x:c>
      <x:c r="D82" s="42" t="str">
        <x:v>-40.056162616318</x:v>
      </x:c>
      <x:c r="E82" s="42" t="str">
        <x:v>0.310000</x:v>
      </x:c>
      <x:c r="F82" s="42" t="str">
        <x:v>-40.366162616318</x:v>
      </x:c>
      <x:c r="G82" s="42" t="str">
        <x:v>40.366162616318</x:v>
      </x:c>
      <x:c r="H82" s="36" t="str">
        <x:v>PASS</x:v>
      </x:c>
    </x:row>
    <x:row r="83" ht="15" hidden="0" customHeight="1">
      <x:c r="A83" s="36" t="str">
        <x:v>author pbc CLI</x:v>
      </x:c>
      <x:c r="B83" s="36" t="str">
        <x:v>2</x:v>
      </x:c>
      <x:c r="C83" s="36" t="str">
        <x:v>III</x:v>
      </x:c>
      <x:c r="D83" s="42" t="str">
        <x:v>-21.728016057439</x:v>
      </x:c>
      <x:c r="E83" s="42" t="str">
        <x:v>1.250000</x:v>
      </x:c>
      <x:c r="F83" s="42" t="str">
        <x:v>-22.978016057439</x:v>
      </x:c>
      <x:c r="G83" s="42" t="str">
        <x:v>22.978016057439</x:v>
      </x:c>
      <x:c r="H83" s="36" t="str">
        <x:v>PASS</x:v>
      </x:c>
    </x:row>
    <x:row r="84" ht="15" hidden="0" customHeight="1">
      <x:c r="A84" s="36" t="str">
        <x:v>author pbc CLI</x:v>
      </x:c>
      <x:c r="B84" s="36" t="str">
        <x:v>2</x:v>
      </x:c>
      <x:c r="C84" s="36" t="str">
        <x:v>IV</x:v>
      </x:c>
      <x:c r="D84" s="42" t="str">
        <x:v>14.909575775296</x:v>
      </x:c>
      <x:c r="E84" s="42" t="str">
        <x:v>3.830000</x:v>
      </x:c>
      <x:c r="F84" s="42" t="str">
        <x:v>11.079575775296</x:v>
      </x:c>
      <x:c r="G84" s="42" t="str">
        <x:v>11.079575775296</x:v>
      </x:c>
      <x:c r="H84" s="36" t="str">
        <x:v>PASS</x:v>
      </x:c>
    </x:row>
    <x:row r="85" ht="15" hidden="0" customHeight="1">
      <x:c r="A85" s="36" t="str">
        <x:v>author pbc CLI</x:v>
      </x:c>
      <x:c r="B85" s="36" t="str">
        <x:v>2</x:v>
      </x:c>
      <x:c r="C85" s="36" t="str">
        <x:v>VI</x:v>
      </x:c>
      <x:c r="D85" s="42" t="str">
        <x:v>-57.502753280215</x:v>
      </x:c>
      <x:c r="E85" s="42" t="str">
        <x:v>1.780000</x:v>
      </x:c>
      <x:c r="F85" s="42" t="str">
        <x:v>-59.282753280215</x:v>
      </x:c>
      <x:c r="G85" s="42" t="str">
        <x:v>59.282753280215</x:v>
      </x:c>
      <x:c r="H85" s="36" t="str">
        <x:v>PASS</x:v>
      </x:c>
    </x:row>
    <x:row r="86" ht="15" hidden="0" customHeight="1">
      <x:c r="A86" s="36" t="str">
        <x:v>author pbc CLI</x:v>
      </x:c>
      <x:c r="B86" s="36" t="str">
        <x:v>2</x:v>
      </x:c>
      <x:c r="C86" s="36" t="str">
        <x:v>VII</x:v>
      </x:c>
      <x:c r="D86" s="42" t="str">
        <x:v>-300.067320161804</x:v>
      </x:c>
      <x:c r="E86" s="42" t="str">
        <x:v>4.990000</x:v>
      </x:c>
      <x:c r="F86" s="42" t="str">
        <x:v>-305.057320161804</x:v>
      </x:c>
      <x:c r="G86" s="42" t="str">
        <x:v>305.057320161804</x:v>
      </x:c>
      <x:c r="H86" s="36" t="str">
        <x:v>PASS</x:v>
      </x:c>
    </x:row>
    <x:row r="87" ht="15" hidden="0" customHeight="1">
      <x:c r="A87" s="36" t="str">
        <x:v>author pbc CLI</x:v>
      </x:c>
      <x:c r="B87" s="36" t="str">
        <x:v>2</x:v>
      </x:c>
      <x:c r="C87" s="36" t="str">
        <x:v>VIII</x:v>
      </x:c>
      <x:c r="D87" s="42" t="str">
        <x:v>-121.498882525679</x:v>
      </x:c>
      <x:c r="E87" s="42" t="str">
        <x:v>4.230000</x:v>
      </x:c>
      <x:c r="F87" s="42" t="str">
        <x:v>-125.728882525679</x:v>
      </x:c>
      <x:c r="G87" s="42" t="str">
        <x:v>125.728882525679</x:v>
      </x:c>
      <x:c r="H87" s="36" t="str">
        <x:v>PASS</x:v>
      </x:c>
    </x:row>
    <x:row r="88" ht="15" hidden="0" customHeight="1">
      <x:c r="A88" s="36" t="str">
        <x:v>author pbc CLI</x:v>
      </x:c>
      <x:c r="B88" s="36" t="str">
        <x:v>2</x:v>
      </x:c>
      <x:c r="C88" s="36" t="str">
        <x:v>IX</x:v>
      </x:c>
      <x:c r="D88" s="42" t="str">
        <x:v>-14.812836787859</x:v>
      </x:c>
      <x:c r="E88" s="42" t="str">
        <x:v>0.600000</x:v>
      </x:c>
      <x:c r="F88" s="42" t="str">
        <x:v>-15.412836787859</x:v>
      </x:c>
      <x:c r="G88" s="42" t="str">
        <x:v>15.412836787859</x:v>
      </x:c>
      <x:c r="H88" s="36" t="str">
        <x:v>PASS</x:v>
      </x:c>
    </x:row>
    <x:row r="89" ht="15" hidden="0" customHeight="1">
      <x:c r="A89" s="36" t="str">
        <x:v>author pbc CLI</x:v>
      </x:c>
      <x:c r="B89" s="36" t="str">
        <x:v>2</x:v>
      </x:c>
      <x:c r="C89" s="36" t="str">
        <x:v>XI</x:v>
      </x:c>
      <x:c r="D89" s="42" t="str">
        <x:v>-165.257377908596</x:v>
      </x:c>
      <x:c r="E89" s="42" t="str">
        <x:v>0.160000</x:v>
      </x:c>
      <x:c r="F89" s="42" t="str">
        <x:v>-165.417377908596</x:v>
      </x:c>
      <x:c r="G89" s="42" t="str">
        <x:v>165.417377908596</x:v>
      </x:c>
      <x:c r="H89" s="36" t="str">
        <x:v>PASS</x:v>
      </x:c>
    </x:row>
    <x:row r="90" ht="15" hidden="0" customHeight="1">
      <x:c r="A90" s="36" t="str">
        <x:v>author pbc CLI</x:v>
      </x:c>
      <x:c r="B90" s="36" t="str">
        <x:v>2</x:v>
      </x:c>
      <x:c r="C90" s="36" t="str">
        <x:v>XIII</x:v>
      </x:c>
      <x:c r="D90" s="42" t="str">
        <x:v>6.868364020212</x:v>
      </x:c>
      <x:c r="E90" s="42" t="str">
        <x:v>2.120000</x:v>
      </x:c>
      <x:c r="F90" s="42" t="str">
        <x:v>4.748364020212</x:v>
      </x:c>
      <x:c r="G90" s="42" t="str">
        <x:v>4.748364020212</x:v>
      </x:c>
      <x:c r="H90" s="36" t="str">
        <x:v>PASS</x:v>
      </x:c>
    </x:row>
    <x:row r="91" ht="15" hidden="0" customHeight="1">
      <x:c r="A91" s="36" t="str">
        <x:v>author pbc CLI</x:v>
      </x:c>
      <x:c r="B91" s="36" t="str">
        <x:v>2</x:v>
      </x:c>
      <x:c r="C91" s="36" t="str">
        <x:v>XIV</x:v>
      </x:c>
      <x:c r="D91" s="42" t="str">
        <x:v>-199.611684777200</x:v>
      </x:c>
      <x:c r="E91" s="42" t="str">
        <x:v>1.700000</x:v>
      </x:c>
      <x:c r="F91" s="42" t="str">
        <x:v>-201.311684777200</x:v>
      </x:c>
      <x:c r="G91" s="42" t="str">
        <x:v>201.311684777200</x:v>
      </x:c>
      <x:c r="H91" s="36" t="str">
        <x:v>PASS</x:v>
      </x:c>
    </x:row>
    <x:row r="92" ht="15" hidden="0" customHeight="1">
      <x:c r="A92" s="36" t="str">
        <x:v>author pbc CLI</x:v>
      </x:c>
      <x:c r="B92" s="36" t="str">
        <x:v>2</x:v>
      </x:c>
      <x:c r="C92" s="36" t="str">
        <x:v>XV</x:v>
      </x:c>
      <x:c r="D92" s="42" t="str">
        <x:v>-58.050293332028</x:v>
      </x:c>
      <x:c r="E92" s="42" t="str">
        <x:v>1.740000</x:v>
      </x:c>
      <x:c r="F92" s="42" t="str">
        <x:v>-59.790293332028</x:v>
      </x:c>
      <x:c r="G92" s="42" t="str">
        <x:v>59.790293332028</x:v>
      </x:c>
      <x:c r="H92" s="36" t="str">
        <x:v>PASS</x:v>
      </x:c>
    </x:row>
    <x:row r="93" ht="15" hidden="0" customHeight="1">
      <x:c r="A93" s="36" t="str">
        <x:v>author pbc CLI</x:v>
      </x:c>
      <x:c r="B93" s="36" t="str">
        <x:v>2</x:v>
      </x:c>
      <x:c r="C93" s="36" t="str">
        <x:v>XVII</x:v>
      </x:c>
      <x:c r="D93" s="42" t="str">
        <x:v>-51.559121420866</x:v>
      </x:c>
      <x:c r="E93" s="42" t="str">
        <x:v>1.750000</x:v>
      </x:c>
      <x:c r="F93" s="42" t="str">
        <x:v>-53.309121420866</x:v>
      </x:c>
      <x:c r="G93" s="42" t="str">
        <x:v>53.309121420866</x:v>
      </x:c>
      <x:c r="H93" s="36" t="str">
        <x:v>PASS</x:v>
      </x:c>
    </x:row>
    <x:row r="94" ht="15" hidden="0" customHeight="1">
      <x:c r="A94" s="36" t="str">
        <x:v>author pbc CLI</x:v>
      </x:c>
      <x:c r="B94" s="36" t="str">
        <x:v>3</x:v>
      </x:c>
      <x:c r="C94" s="36" t="str">
        <x:v>II</x:v>
      </x:c>
      <x:c r="D94" s="42" t="str">
        <x:v>-9.054674468559</x:v>
      </x:c>
      <x:c r="E94" s="42" t="str">
        <x:v>0.310000</x:v>
      </x:c>
      <x:c r="F94" s="42" t="str">
        <x:v>-9.364674468559</x:v>
      </x:c>
      <x:c r="G94" s="42" t="str">
        <x:v>9.364674468559</x:v>
      </x:c>
      <x:c r="H94" s="36" t="str">
        <x:v>PASS</x:v>
      </x:c>
    </x:row>
    <x:row r="95" ht="15" hidden="0" customHeight="1">
      <x:c r="A95" s="36" t="str">
        <x:v>author pbc CLI</x:v>
      </x:c>
      <x:c r="B95" s="36" t="str">
        <x:v>3</x:v>
      </x:c>
      <x:c r="C95" s="36" t="str">
        <x:v>III</x:v>
      </x:c>
      <x:c r="D95" s="42" t="str">
        <x:v>-2.341718734421</x:v>
      </x:c>
      <x:c r="E95" s="42" t="str">
        <x:v>1.250000</x:v>
      </x:c>
      <x:c r="F95" s="42" t="str">
        <x:v>-3.591718734421</x:v>
      </x:c>
      <x:c r="G95" s="42" t="str">
        <x:v>3.591718734421</x:v>
      </x:c>
      <x:c r="H95" s="36" t="str">
        <x:v>PASS</x:v>
      </x:c>
    </x:row>
    <x:row r="96" ht="15" hidden="0" customHeight="1">
      <x:c r="A96" s="36" t="str">
        <x:v>author pbc CLI</x:v>
      </x:c>
      <x:c r="B96" s="36" t="str">
        <x:v>3</x:v>
      </x:c>
      <x:c r="C96" s="36" t="str">
        <x:v>IV</x:v>
      </x:c>
      <x:c r="D96" s="42" t="str">
        <x:v>2.892295286943</x:v>
      </x:c>
      <x:c r="E96" s="42" t="str">
        <x:v>3.830000</x:v>
      </x:c>
      <x:c r="F96" s="42" t="str">
        <x:v>-0.937704713057</x:v>
      </x:c>
      <x:c r="G96" s="42" t="str">
        <x:v>0.937704713057</x:v>
      </x:c>
      <x:c r="H96" s="36" t="str">
        <x:v>PASS</x:v>
      </x:c>
    </x:row>
    <x:row r="97" ht="15" hidden="0" customHeight="1">
      <x:c r="A97" s="36" t="str">
        <x:v>author pbc CLI</x:v>
      </x:c>
      <x:c r="B97" s="36" t="str">
        <x:v>3</x:v>
      </x:c>
      <x:c r="C97" s="36" t="str">
        <x:v>VI</x:v>
      </x:c>
      <x:c r="D97" s="42" t="str">
        <x:v>-12.421511801622</x:v>
      </x:c>
      <x:c r="E97" s="42" t="str">
        <x:v>1.780000</x:v>
      </x:c>
      <x:c r="F97" s="42" t="str">
        <x:v>-14.201511801622</x:v>
      </x:c>
      <x:c r="G97" s="42" t="str">
        <x:v>14.201511801622</x:v>
      </x:c>
      <x:c r="H97" s="36" t="str">
        <x:v>PASS</x:v>
      </x:c>
    </x:row>
    <x:row r="98" ht="15" hidden="0" customHeight="1">
      <x:c r="A98" s="36" t="str">
        <x:v>author pbc CLI</x:v>
      </x:c>
      <x:c r="B98" s="36" t="str">
        <x:v>3</x:v>
      </x:c>
      <x:c r="C98" s="36" t="str">
        <x:v>VII</x:v>
      </x:c>
      <x:c r="D98" s="42" t="str">
        <x:v>-153.975297576434</x:v>
      </x:c>
      <x:c r="E98" s="42" t="str">
        <x:v>4.990000</x:v>
      </x:c>
      <x:c r="F98" s="42" t="str">
        <x:v>-158.965297576434</x:v>
      </x:c>
      <x:c r="G98" s="42" t="str">
        <x:v>158.965297576434</x:v>
      </x:c>
      <x:c r="H98" s="36" t="str">
        <x:v>PASS</x:v>
      </x:c>
    </x:row>
    <x:row r="99" ht="15" hidden="0" customHeight="1">
      <x:c r="A99" s="36" t="str">
        <x:v>author pbc CLI</x:v>
      </x:c>
      <x:c r="B99" s="36" t="str">
        <x:v>3</x:v>
      </x:c>
      <x:c r="C99" s="36" t="str">
        <x:v>VIII</x:v>
      </x:c>
      <x:c r="D99" s="42" t="str">
        <x:v>-38.490190110106</x:v>
      </x:c>
      <x:c r="E99" s="42" t="str">
        <x:v>4.230000</x:v>
      </x:c>
      <x:c r="F99" s="42" t="str">
        <x:v>-42.720190110106</x:v>
      </x:c>
      <x:c r="G99" s="42" t="str">
        <x:v>42.720190110106</x:v>
      </x:c>
      <x:c r="H99" s="36" t="str">
        <x:v>PASS</x:v>
      </x:c>
    </x:row>
    <x:row r="100" ht="15" hidden="0" customHeight="1">
      <x:c r="A100" s="36" t="str">
        <x:v>author pbc CLI</x:v>
      </x:c>
      <x:c r="B100" s="36" t="str">
        <x:v>3</x:v>
      </x:c>
      <x:c r="C100" s="36" t="str">
        <x:v>IX</x:v>
      </x:c>
      <x:c r="D100" s="42" t="str">
        <x:v>-2.462552657305</x:v>
      </x:c>
      <x:c r="E100" s="42" t="str">
        <x:v>0.600000</x:v>
      </x:c>
      <x:c r="F100" s="42" t="str">
        <x:v>-3.062552657305</x:v>
      </x:c>
      <x:c r="G100" s="42" t="str">
        <x:v>3.062552657305</x:v>
      </x:c>
      <x:c r="H100" s="36" t="str">
        <x:v>PASS</x:v>
      </x:c>
    </x:row>
    <x:row r="101" ht="15" hidden="0" customHeight="1">
      <x:c r="A101" s="36" t="str">
        <x:v>author pbc CLI</x:v>
      </x:c>
      <x:c r="B101" s="36" t="str">
        <x:v>3</x:v>
      </x:c>
      <x:c r="C101" s="36" t="str">
        <x:v>XI</x:v>
      </x:c>
      <x:c r="D101" s="42" t="str">
        <x:v>-62.538655042867</x:v>
      </x:c>
      <x:c r="E101" s="42" t="str">
        <x:v>0.160000</x:v>
      </x:c>
      <x:c r="F101" s="42" t="str">
        <x:v>-62.698655042867</x:v>
      </x:c>
      <x:c r="G101" s="42" t="str">
        <x:v>62.698655042867</x:v>
      </x:c>
      <x:c r="H101" s="36" t="str">
        <x:v>PASS</x:v>
      </x:c>
    </x:row>
    <x:row r="102" ht="15" hidden="0" customHeight="1">
      <x:c r="A102" s="36" t="str">
        <x:v>author pbc CLI</x:v>
      </x:c>
      <x:c r="B102" s="36" t="str">
        <x:v>3</x:v>
      </x:c>
      <x:c r="C102" s="36" t="str">
        <x:v>XIII</x:v>
      </x:c>
      <x:c r="D102" s="42" t="str">
        <x:v>0.923689537732</x:v>
      </x:c>
      <x:c r="E102" s="42" t="str">
        <x:v>2.120000</x:v>
      </x:c>
      <x:c r="F102" s="42" t="str">
        <x:v>-1.196310462268</x:v>
      </x:c>
      <x:c r="G102" s="42" t="str">
        <x:v>1.196310462268</x:v>
      </x:c>
      <x:c r="H102" s="36" t="str">
        <x:v>PASS</x:v>
      </x:c>
    </x:row>
    <x:row r="103" ht="15" hidden="0" customHeight="1">
      <x:c r="A103" s="36" t="str">
        <x:v>author pbc CLI</x:v>
      </x:c>
      <x:c r="B103" s="36" t="str">
        <x:v>3</x:v>
      </x:c>
      <x:c r="C103" s="36" t="str">
        <x:v>XIV</x:v>
      </x:c>
      <x:c r="D103" s="42" t="str">
        <x:v>-83.903026598902</x:v>
      </x:c>
      <x:c r="E103" s="42" t="str">
        <x:v>1.700000</x:v>
      </x:c>
      <x:c r="F103" s="42" t="str">
        <x:v>-85.603026598902</x:v>
      </x:c>
      <x:c r="G103" s="42" t="str">
        <x:v>85.603026598902</x:v>
      </x:c>
      <x:c r="H103" s="36" t="str">
        <x:v>PASS</x:v>
      </x:c>
    </x:row>
    <x:row r="104" ht="15" hidden="0" customHeight="1">
      <x:c r="A104" s="36" t="str">
        <x:v>author pbc CLI</x:v>
      </x:c>
      <x:c r="B104" s="36" t="str">
        <x:v>3</x:v>
      </x:c>
      <x:c r="C104" s="36" t="str">
        <x:v>XV</x:v>
      </x:c>
      <x:c r="D104" s="42" t="str">
        <x:v>-12.548998010281</x:v>
      </x:c>
      <x:c r="E104" s="42" t="str">
        <x:v>1.740000</x:v>
      </x:c>
      <x:c r="F104" s="42" t="str">
        <x:v>-14.288998010281</x:v>
      </x:c>
      <x:c r="G104" s="42" t="str">
        <x:v>14.288998010281</x:v>
      </x:c>
      <x:c r="H104" s="36" t="str">
        <x:v>PASS</x:v>
      </x:c>
    </x:row>
    <x:row r="105" ht="15" hidden="0" customHeight="1">
      <x:c r="A105" s="36" t="str">
        <x:v>author pbc CLI</x:v>
      </x:c>
      <x:c r="B105" s="36" t="str">
        <x:v>3</x:v>
      </x:c>
      <x:c r="C105" s="36" t="str">
        <x:v>XVII</x:v>
      </x:c>
      <x:c r="D105" s="42" t="str">
        <x:v>-10.466416914384</x:v>
      </x:c>
      <x:c r="E105" s="42" t="str">
        <x:v>1.750000</x:v>
      </x:c>
      <x:c r="F105" s="42" t="str">
        <x:v>-12.216416914384</x:v>
      </x:c>
      <x:c r="G105" s="42" t="str">
        <x:v>12.216416914384</x:v>
      </x:c>
      <x:c r="H105" s="36" t="str">
        <x:v>PASS</x:v>
      </x:c>
    </x:row>
    <x:row r="106" ht="15" hidden="0" customHeight="1">
      <x:c r="A106" s="36" t="str">
        <x:v>current pbc CLI</x:v>
      </x:c>
      <x:c r="B106" s="36" t="str">
        <x:v>1</x:v>
      </x:c>
      <x:c r="C106" s="36" t="str">
        <x:v>II</x:v>
      </x:c>
      <x:c r="D106" s="42" t="str">
        <x:v>-85.402832480791</x:v>
      </x:c>
      <x:c r="E106" s="42" t="str">
        <x:v>0.310000</x:v>
      </x:c>
      <x:c r="F106" s="42" t="str">
        <x:v>-85.712832480791</x:v>
      </x:c>
      <x:c r="G106" s="42" t="str">
        <x:v>85.712832480791</x:v>
      </x:c>
      <x:c r="H106" s="36" t="str">
        <x:v>PASS</x:v>
      </x:c>
    </x:row>
    <x:row r="107" ht="15" hidden="0" customHeight="1">
      <x:c r="A107" s="36" t="str">
        <x:v>current pbc CLI</x:v>
      </x:c>
      <x:c r="B107" s="36" t="str">
        <x:v>1</x:v>
      </x:c>
      <x:c r="C107" s="36" t="str">
        <x:v>III</x:v>
      </x:c>
      <x:c r="D107" s="42" t="str">
        <x:v>-52.784771448006</x:v>
      </x:c>
      <x:c r="E107" s="42" t="str">
        <x:v>1.250000</x:v>
      </x:c>
      <x:c r="F107" s="42" t="str">
        <x:v>-54.034771448006</x:v>
      </x:c>
      <x:c r="G107" s="42" t="str">
        <x:v>54.034771448006</x:v>
      </x:c>
      <x:c r="H107" s="36" t="str">
        <x:v>PASS</x:v>
      </x:c>
    </x:row>
    <x:row r="108" ht="15" hidden="0" customHeight="1">
      <x:c r="A108" s="36" t="str">
        <x:v>current pbc CLI</x:v>
      </x:c>
      <x:c r="B108" s="36" t="str">
        <x:v>1</x:v>
      </x:c>
      <x:c r="C108" s="36" t="str">
        <x:v>IV</x:v>
      </x:c>
      <x:c r="D108" s="42" t="str">
        <x:v>38.666296487481</x:v>
      </x:c>
      <x:c r="E108" s="42" t="str">
        <x:v>3.830000</x:v>
      </x:c>
      <x:c r="F108" s="42" t="str">
        <x:v>34.836296487481</x:v>
      </x:c>
      <x:c r="G108" s="42" t="str">
        <x:v>34.836296487481</x:v>
      </x:c>
      <x:c r="H108" s="36" t="str">
        <x:v>PASS</x:v>
      </x:c>
    </x:row>
    <x:row r="109" ht="15" hidden="0" customHeight="1">
      <x:c r="A109" s="36" t="str">
        <x:v>current pbc CLI</x:v>
      </x:c>
      <x:c r="B109" s="36" t="str">
        <x:v>1</x:v>
      </x:c>
      <x:c r="C109" s="36" t="str">
        <x:v>VI</x:v>
      </x:c>
      <x:c r="D109" s="42" t="str">
        <x:v>-119.951876462899</x:v>
      </x:c>
      <x:c r="E109" s="42" t="str">
        <x:v>1.780000</x:v>
      </x:c>
      <x:c r="F109" s="42" t="str">
        <x:v>-121.731876462899</x:v>
      </x:c>
      <x:c r="G109" s="42" t="str">
        <x:v>121.731876462899</x:v>
      </x:c>
      <x:c r="H109" s="36" t="str">
        <x:v>PASS</x:v>
      </x:c>
    </x:row>
    <x:row r="110" ht="15" hidden="0" customHeight="1">
      <x:c r="A110" s="36" t="str">
        <x:v>current pbc CLI</x:v>
      </x:c>
      <x:c r="B110" s="36" t="str">
        <x:v>1</x:v>
      </x:c>
      <x:c r="C110" s="36" t="str">
        <x:v>VII</x:v>
      </x:c>
      <x:c r="D110" s="42" t="str">
        <x:v>-491.873083815613</x:v>
      </x:c>
      <x:c r="E110" s="42" t="str">
        <x:v>4.990000</x:v>
      </x:c>
      <x:c r="F110" s="42" t="str">
        <x:v>-496.863083815613</x:v>
      </x:c>
      <x:c r="G110" s="42" t="str">
        <x:v>496.863083815613</x:v>
      </x:c>
      <x:c r="H110" s="36" t="str">
        <x:v>PASS</x:v>
      </x:c>
    </x:row>
    <x:row r="111" ht="15" hidden="0" customHeight="1">
      <x:c r="A111" s="36" t="str">
        <x:v>current pbc CLI</x:v>
      </x:c>
      <x:c r="B111" s="36" t="str">
        <x:v>1</x:v>
      </x:c>
      <x:c r="C111" s="36" t="str">
        <x:v>VIII</x:v>
      </x:c>
      <x:c r="D111" s="42" t="str">
        <x:v>-227.181421040355</x:v>
      </x:c>
      <x:c r="E111" s="42" t="str">
        <x:v>4.230000</x:v>
      </x:c>
      <x:c r="F111" s="42" t="str">
        <x:v>-231.411421040355</x:v>
      </x:c>
      <x:c r="G111" s="42" t="str">
        <x:v>231.411421040355</x:v>
      </x:c>
      <x:c r="H111" s="36" t="str">
        <x:v>PASS</x:v>
      </x:c>
    </x:row>
    <x:row r="112" ht="15" hidden="0" customHeight="1">
      <x:c r="A112" s="36" t="str">
        <x:v>current pbc CLI</x:v>
      </x:c>
      <x:c r="B112" s="36" t="str">
        <x:v>1</x:v>
      </x:c>
      <x:c r="C112" s="36" t="str">
        <x:v>IX</x:v>
      </x:c>
      <x:c r="D112" s="42" t="str">
        <x:v>-36.269951925783</x:v>
      </x:c>
      <x:c r="E112" s="42" t="str">
        <x:v>0.600000</x:v>
      </x:c>
      <x:c r="F112" s="42" t="str">
        <x:v>-36.869951925783</x:v>
      </x:c>
      <x:c r="G112" s="42" t="str">
        <x:v>36.869951925783</x:v>
      </x:c>
      <x:c r="H112" s="36" t="str">
        <x:v>PASS</x:v>
      </x:c>
    </x:row>
    <x:row r="113" ht="15" hidden="0" customHeight="1">
      <x:c r="A113" s="36" t="str">
        <x:v>current pbc CLI</x:v>
      </x:c>
      <x:c r="B113" s="36" t="str">
        <x:v>1</x:v>
      </x:c>
      <x:c r="C113" s="36" t="str">
        <x:v>XI</x:v>
      </x:c>
      <x:c r="D113" s="42" t="str">
        <x:v>-299.258518836626</x:v>
      </x:c>
      <x:c r="E113" s="42" t="str">
        <x:v>0.160000</x:v>
      </x:c>
      <x:c r="F113" s="42" t="str">
        <x:v>-299.418518836626</x:v>
      </x:c>
      <x:c r="G113" s="42" t="str">
        <x:v>299.418518836626</x:v>
      </x:c>
      <x:c r="H113" s="36" t="str">
        <x:v>PASS</x:v>
      </x:c>
    </x:row>
    <x:row r="114" ht="15" hidden="0" customHeight="1">
      <x:c r="A114" s="36" t="str">
        <x:v>current pbc CLI</x:v>
      </x:c>
      <x:c r="B114" s="36" t="str">
        <x:v>1</x:v>
      </x:c>
      <x:c r="C114" s="36" t="str">
        <x:v>XIII</x:v>
      </x:c>
      <x:c r="D114" s="42" t="str">
        <x:v>16.464730608559</x:v>
      </x:c>
      <x:c r="E114" s="42" t="str">
        <x:v>2.120000</x:v>
      </x:c>
      <x:c r="F114" s="42" t="str">
        <x:v>14.344730608559</x:v>
      </x:c>
      <x:c r="G114" s="42" t="str">
        <x:v>14.344730608559</x:v>
      </x:c>
      <x:c r="H114" s="36" t="str">
        <x:v>PASS</x:v>
      </x:c>
    </x:row>
    <x:row r="115" ht="15" hidden="0" customHeight="1">
      <x:c r="A115" s="36" t="str">
        <x:v>current pbc CLI</x:v>
      </x:c>
      <x:c r="B115" s="36" t="str">
        <x:v>1</x:v>
      </x:c>
      <x:c r="C115" s="36" t="str">
        <x:v>XIV</x:v>
      </x:c>
      <x:c r="D115" s="42" t="str">
        <x:v>-351.956576532881</x:v>
      </x:c>
      <x:c r="E115" s="42" t="str">
        <x:v>1.700000</x:v>
      </x:c>
      <x:c r="F115" s="42" t="str">
        <x:v>-353.656576532881</x:v>
      </x:c>
      <x:c r="G115" s="42" t="str">
        <x:v>353.656576532881</x:v>
      </x:c>
      <x:c r="H115" s="36" t="str">
        <x:v>PASS</x:v>
      </x:c>
    </x:row>
    <x:row r="116" ht="15" hidden="0" customHeight="1">
      <x:c r="A116" s="36" t="str">
        <x:v>current pbc CLI</x:v>
      </x:c>
      <x:c r="B116" s="36" t="str">
        <x:v>1</x:v>
      </x:c>
      <x:c r="C116" s="36" t="str">
        <x:v>XV</x:v>
      </x:c>
      <x:c r="D116" s="42" t="str">
        <x:v>-121.156628176656</x:v>
      </x:c>
      <x:c r="E116" s="42" t="str">
        <x:v>1.740000</x:v>
      </x:c>
      <x:c r="F116" s="42" t="str">
        <x:v>-122.896628176656</x:v>
      </x:c>
      <x:c r="G116" s="42" t="str">
        <x:v>122.896628176656</x:v>
      </x:c>
      <x:c r="H116" s="36" t="str">
        <x:v>PASS</x:v>
      </x:c>
    </x:row>
    <x:row r="117" ht="15" hidden="0" customHeight="1">
      <x:c r="A117" s="36" t="str">
        <x:v>current pbc CLI</x:v>
      </x:c>
      <x:c r="B117" s="36" t="str">
        <x:v>1</x:v>
      </x:c>
      <x:c r="C117" s="36" t="str">
        <x:v>XVII</x:v>
      </x:c>
      <x:c r="D117" s="42" t="str">
        <x:v>-112.486904450047</x:v>
      </x:c>
      <x:c r="E117" s="42" t="str">
        <x:v>1.750000</x:v>
      </x:c>
      <x:c r="F117" s="42" t="str">
        <x:v>-114.236904450047</x:v>
      </x:c>
      <x:c r="G117" s="42" t="str">
        <x:v>114.236904450047</x:v>
      </x:c>
      <x:c r="H117" s="36" t="str">
        <x:v>PASS</x:v>
      </x:c>
    </x:row>
    <x:row r="118" ht="15" hidden="0" customHeight="1">
      <x:c r="A118" s="36" t="str">
        <x:v>current pbc CLI</x:v>
      </x:c>
      <x:c r="B118" s="36" t="str">
        <x:v>2</x:v>
      </x:c>
      <x:c r="C118" s="36" t="str">
        <x:v>II</x:v>
      </x:c>
      <x:c r="D118" s="42" t="str">
        <x:v>-40.052769548562</x:v>
      </x:c>
      <x:c r="E118" s="42" t="str">
        <x:v>0.310000</x:v>
      </x:c>
      <x:c r="F118" s="42" t="str">
        <x:v>-40.362769548562</x:v>
      </x:c>
      <x:c r="G118" s="42" t="str">
        <x:v>40.362769548562</x:v>
      </x:c>
      <x:c r="H118" s="36" t="str">
        <x:v>PASS</x:v>
      </x:c>
    </x:row>
    <x:row r="119" ht="15" hidden="0" customHeight="1">
      <x:c r="A119" s="36" t="str">
        <x:v>current pbc CLI</x:v>
      </x:c>
      <x:c r="B119" s="36" t="str">
        <x:v>2</x:v>
      </x:c>
      <x:c r="C119" s="36" t="str">
        <x:v>III</x:v>
      </x:c>
      <x:c r="D119" s="42" t="str">
        <x:v>-21.669458368756</x:v>
      </x:c>
      <x:c r="E119" s="42" t="str">
        <x:v>1.250000</x:v>
      </x:c>
      <x:c r="F119" s="42" t="str">
        <x:v>-22.919458368756</x:v>
      </x:c>
      <x:c r="G119" s="42" t="str">
        <x:v>22.919458368756</x:v>
      </x:c>
      <x:c r="H119" s="36" t="str">
        <x:v>PASS</x:v>
      </x:c>
    </x:row>
    <x:row r="120" ht="15" hidden="0" customHeight="1">
      <x:c r="A120" s="36" t="str">
        <x:v>current pbc CLI</x:v>
      </x:c>
      <x:c r="B120" s="36" t="str">
        <x:v>2</x:v>
      </x:c>
      <x:c r="C120" s="36" t="str">
        <x:v>IV</x:v>
      </x:c>
      <x:c r="D120" s="42" t="str">
        <x:v>14.926647908813</x:v>
      </x:c>
      <x:c r="E120" s="42" t="str">
        <x:v>3.830000</x:v>
      </x:c>
      <x:c r="F120" s="42" t="str">
        <x:v>11.096647908813</x:v>
      </x:c>
      <x:c r="G120" s="42" t="str">
        <x:v>11.096647908813</x:v>
      </x:c>
      <x:c r="H120" s="36" t="str">
        <x:v>PASS</x:v>
      </x:c>
    </x:row>
    <x:row r="121" ht="15" hidden="0" customHeight="1">
      <x:c r="A121" s="36" t="str">
        <x:v>current pbc CLI</x:v>
      </x:c>
      <x:c r="B121" s="36" t="str">
        <x:v>2</x:v>
      </x:c>
      <x:c r="C121" s="36" t="str">
        <x:v>VI</x:v>
      </x:c>
      <x:c r="D121" s="42" t="str">
        <x:v>-57.367276074495</x:v>
      </x:c>
      <x:c r="E121" s="42" t="str">
        <x:v>1.780000</x:v>
      </x:c>
      <x:c r="F121" s="42" t="str">
        <x:v>-59.147276074495</x:v>
      </x:c>
      <x:c r="G121" s="42" t="str">
        <x:v>59.147276074495</x:v>
      </x:c>
      <x:c r="H121" s="36" t="str">
        <x:v>PASS</x:v>
      </x:c>
    </x:row>
    <x:row r="122" ht="15" hidden="0" customHeight="1">
      <x:c r="A122" s="36" t="str">
        <x:v>current pbc CLI</x:v>
      </x:c>
      <x:c r="B122" s="36" t="str">
        <x:v>2</x:v>
      </x:c>
      <x:c r="C122" s="36" t="str">
        <x:v>VII</x:v>
      </x:c>
      <x:c r="D122" s="42" t="str">
        <x:v>-299.975204903283</x:v>
      </x:c>
      <x:c r="E122" s="42" t="str">
        <x:v>4.990000</x:v>
      </x:c>
      <x:c r="F122" s="42" t="str">
        <x:v>-304.965204903283</x:v>
      </x:c>
      <x:c r="G122" s="42" t="str">
        <x:v>304.965204903283</x:v>
      </x:c>
      <x:c r="H122" s="36" t="str">
        <x:v>PASS</x:v>
      </x:c>
    </x:row>
    <x:row r="123" ht="15" hidden="0" customHeight="1">
      <x:c r="A123" s="36" t="str">
        <x:v>current pbc CLI</x:v>
      </x:c>
      <x:c r="B123" s="36" t="str">
        <x:v>2</x:v>
      </x:c>
      <x:c r="C123" s="36" t="str">
        <x:v>VIII</x:v>
      </x:c>
      <x:c r="D123" s="42" t="str">
        <x:v>-121.493623038083</x:v>
      </x:c>
      <x:c r="E123" s="42" t="str">
        <x:v>4.230000</x:v>
      </x:c>
      <x:c r="F123" s="42" t="str">
        <x:v>-125.723623038083</x:v>
      </x:c>
      <x:c r="G123" s="42" t="str">
        <x:v>125.723623038083</x:v>
      </x:c>
      <x:c r="H123" s="36" t="str">
        <x:v>PASS</x:v>
      </x:c>
    </x:row>
    <x:row r="124" ht="15" hidden="0" customHeight="1">
      <x:c r="A124" s="36" t="str">
        <x:v>current pbc CLI</x:v>
      </x:c>
      <x:c r="B124" s="36" t="str">
        <x:v>2</x:v>
      </x:c>
      <x:c r="C124" s="36" t="str">
        <x:v>IX</x:v>
      </x:c>
      <x:c r="D124" s="42" t="str">
        <x:v>-14.811033266160</x:v>
      </x:c>
      <x:c r="E124" s="42" t="str">
        <x:v>0.600000</x:v>
      </x:c>
      <x:c r="F124" s="42" t="str">
        <x:v>-15.411033266160</x:v>
      </x:c>
      <x:c r="G124" s="42" t="str">
        <x:v>15.411033266160</x:v>
      </x:c>
      <x:c r="H124" s="36" t="str">
        <x:v>PASS</x:v>
      </x:c>
    </x:row>
    <x:row r="125" ht="15" hidden="0" customHeight="1">
      <x:c r="A125" s="36" t="str">
        <x:v>current pbc CLI</x:v>
      </x:c>
      <x:c r="B125" s="36" t="str">
        <x:v>2</x:v>
      </x:c>
      <x:c r="C125" s="36" t="str">
        <x:v>XI</x:v>
      </x:c>
      <x:c r="D125" s="42" t="str">
        <x:v>-165.236809268426</x:v>
      </x:c>
      <x:c r="E125" s="42" t="str">
        <x:v>0.160000</x:v>
      </x:c>
      <x:c r="F125" s="42" t="str">
        <x:v>-165.396809268426</x:v>
      </x:c>
      <x:c r="G125" s="42" t="str">
        <x:v>165.396809268426</x:v>
      </x:c>
      <x:c r="H125" s="36" t="str">
        <x:v>PASS</x:v>
      </x:c>
    </x:row>
    <x:row r="126" ht="15" hidden="0" customHeight="1">
      <x:c r="A126" s="36" t="str">
        <x:v>current pbc CLI</x:v>
      </x:c>
      <x:c r="B126" s="36" t="str">
        <x:v>2</x:v>
      </x:c>
      <x:c r="C126" s="36" t="str">
        <x:v>XIII</x:v>
      </x:c>
      <x:c r="D126" s="42" t="str">
        <x:v>6.872357662713</x:v>
      </x:c>
      <x:c r="E126" s="42" t="str">
        <x:v>2.120000</x:v>
      </x:c>
      <x:c r="F126" s="42" t="str">
        <x:v>4.752357662713</x:v>
      </x:c>
      <x:c r="G126" s="42" t="str">
        <x:v>4.752357662713</x:v>
      </x:c>
      <x:c r="H126" s="36" t="str">
        <x:v>PASS</x:v>
      </x:c>
    </x:row>
    <x:row r="127" ht="15" hidden="0" customHeight="1">
      <x:c r="A127" s="36" t="str">
        <x:v>current pbc CLI</x:v>
      </x:c>
      <x:c r="B127" s="36" t="str">
        <x:v>2</x:v>
      </x:c>
      <x:c r="C127" s="36" t="str">
        <x:v>XIV</x:v>
      </x:c>
      <x:c r="D127" s="42" t="str">
        <x:v>-199.607041791688</x:v>
      </x:c>
      <x:c r="E127" s="42" t="str">
        <x:v>1.700000</x:v>
      </x:c>
      <x:c r="F127" s="42" t="str">
        <x:v>-201.307041791688</x:v>
      </x:c>
      <x:c r="G127" s="42" t="str">
        <x:v>201.307041791688</x:v>
      </x:c>
      <x:c r="H127" s="36" t="str">
        <x:v>PASS</x:v>
      </x:c>
    </x:row>
    <x:row r="128" ht="15" hidden="0" customHeight="1">
      <x:c r="A128" s="36" t="str">
        <x:v>current pbc CLI</x:v>
      </x:c>
      <x:c r="B128" s="36" t="str">
        <x:v>2</x:v>
      </x:c>
      <x:c r="C128" s="36" t="str">
        <x:v>XV</x:v>
      </x:c>
      <x:c r="D128" s="42" t="str">
        <x:v>-58.045564075785</x:v>
      </x:c>
      <x:c r="E128" s="42" t="str">
        <x:v>1.740000</x:v>
      </x:c>
      <x:c r="F128" s="42" t="str">
        <x:v>-59.785564075785</x:v>
      </x:c>
      <x:c r="G128" s="42" t="str">
        <x:v>59.785564075785</x:v>
      </x:c>
      <x:c r="H128" s="36" t="str">
        <x:v>PASS</x:v>
      </x:c>
    </x:row>
    <x:row r="129" ht="15" hidden="0" customHeight="1">
      <x:c r="A129" s="36" t="str">
        <x:v>current pbc CLI</x:v>
      </x:c>
      <x:c r="B129" s="36" t="str">
        <x:v>2</x:v>
      </x:c>
      <x:c r="C129" s="36" t="str">
        <x:v>XVII</x:v>
      </x:c>
      <x:c r="D129" s="42" t="str">
        <x:v>-51.558720983607</x:v>
      </x:c>
      <x:c r="E129" s="42" t="str">
        <x:v>1.750000</x:v>
      </x:c>
      <x:c r="F129" s="42" t="str">
        <x:v>-53.308720983607</x:v>
      </x:c>
      <x:c r="G129" s="42" t="str">
        <x:v>53.308720983607</x:v>
      </x:c>
      <x:c r="H129" s="36" t="str">
        <x:v>PASS</x:v>
      </x:c>
    </x:row>
    <x:row r="130" ht="15" hidden="0" customHeight="1">
      <x:c r="A130" s="36" t="str">
        <x:v>current pbc CLI</x:v>
      </x:c>
      <x:c r="B130" s="36" t="str">
        <x:v>3</x:v>
      </x:c>
      <x:c r="C130" s="36" t="str">
        <x:v>II</x:v>
      </x:c>
      <x:c r="D130" s="42" t="str">
        <x:v>-9.052128552229</x:v>
      </x:c>
      <x:c r="E130" s="42" t="str">
        <x:v>0.310000</x:v>
      </x:c>
      <x:c r="F130" s="42" t="str">
        <x:v>-9.362128552229</x:v>
      </x:c>
      <x:c r="G130" s="42" t="str">
        <x:v>9.362128552229</x:v>
      </x:c>
      <x:c r="H130" s="36" t="str">
        <x:v>PASS</x:v>
      </x:c>
    </x:row>
    <x:row r="131" ht="15" hidden="0" customHeight="1">
      <x:c r="A131" s="36" t="str">
        <x:v>current pbc CLI</x:v>
      </x:c>
      <x:c r="B131" s="36" t="str">
        <x:v>3</x:v>
      </x:c>
      <x:c r="C131" s="36" t="str">
        <x:v>III</x:v>
      </x:c>
      <x:c r="D131" s="42" t="str">
        <x:v>-2.299617048110</x:v>
      </x:c>
      <x:c r="E131" s="42" t="str">
        <x:v>1.250000</x:v>
      </x:c>
      <x:c r="F131" s="42" t="str">
        <x:v>-3.549617048110</x:v>
      </x:c>
      <x:c r="G131" s="42" t="str">
        <x:v>3.549617048110</x:v>
      </x:c>
      <x:c r="H131" s="36" t="str">
        <x:v>PASS</x:v>
      </x:c>
    </x:row>
    <x:row r="132" ht="15" hidden="0" customHeight="1">
      <x:c r="A132" s="36" t="str">
        <x:v>current pbc CLI</x:v>
      </x:c>
      <x:c r="B132" s="36" t="str">
        <x:v>3</x:v>
      </x:c>
      <x:c r="C132" s="36" t="str">
        <x:v>IV</x:v>
      </x:c>
      <x:c r="D132" s="42" t="str">
        <x:v>2.904340310370</x:v>
      </x:c>
      <x:c r="E132" s="42" t="str">
        <x:v>3.830000</x:v>
      </x:c>
      <x:c r="F132" s="42" t="str">
        <x:v>-0.925659689630</x:v>
      </x:c>
      <x:c r="G132" s="42" t="str">
        <x:v>0.925659689630</x:v>
      </x:c>
      <x:c r="H132" s="36" t="str">
        <x:v>PASS</x:v>
      </x:c>
    </x:row>
    <x:row r="133" ht="15" hidden="0" customHeight="1">
      <x:c r="A133" s="36" t="str">
        <x:v>current pbc CLI</x:v>
      </x:c>
      <x:c r="B133" s="36" t="str">
        <x:v>3</x:v>
      </x:c>
      <x:c r="C133" s="36" t="str">
        <x:v>VI</x:v>
      </x:c>
      <x:c r="D133" s="42" t="str">
        <x:v>-12.321031303355</x:v>
      </x:c>
      <x:c r="E133" s="42" t="str">
        <x:v>1.780000</x:v>
      </x:c>
      <x:c r="F133" s="42" t="str">
        <x:v>-14.101031303355</x:v>
      </x:c>
      <x:c r="G133" s="42" t="str">
        <x:v>14.101031303355</x:v>
      </x:c>
      <x:c r="H133" s="36" t="str">
        <x:v>PASS</x:v>
      </x:c>
    </x:row>
    <x:row r="134" ht="15" hidden="0" customHeight="1">
      <x:c r="A134" s="36" t="str">
        <x:v>current pbc CLI</x:v>
      </x:c>
      <x:c r="B134" s="36" t="str">
        <x:v>3</x:v>
      </x:c>
      <x:c r="C134" s="36" t="str">
        <x:v>VII</x:v>
      </x:c>
      <x:c r="D134" s="42" t="str">
        <x:v>-153.898129900577</x:v>
      </x:c>
      <x:c r="E134" s="42" t="str">
        <x:v>4.990000</x:v>
      </x:c>
      <x:c r="F134" s="42" t="str">
        <x:v>-158.888129900577</x:v>
      </x:c>
      <x:c r="G134" s="42" t="str">
        <x:v>158.888129900577</x:v>
      </x:c>
      <x:c r="H134" s="36" t="str">
        <x:v>PASS</x:v>
      </x:c>
    </x:row>
    <x:row r="135" ht="15" hidden="0" customHeight="1">
      <x:c r="A135" s="36" t="str">
        <x:v>current pbc CLI</x:v>
      </x:c>
      <x:c r="B135" s="36" t="str">
        <x:v>3</x:v>
      </x:c>
      <x:c r="C135" s="36" t="str">
        <x:v>VIII</x:v>
      </x:c>
      <x:c r="D135" s="42" t="str">
        <x:v>-38.486266197120</x:v>
      </x:c>
      <x:c r="E135" s="42" t="str">
        <x:v>4.230000</x:v>
      </x:c>
      <x:c r="F135" s="42" t="str">
        <x:v>-42.716266197120</x:v>
      </x:c>
      <x:c r="G135" s="42" t="str">
        <x:v>42.716266197120</x:v>
      </x:c>
      <x:c r="H135" s="36" t="str">
        <x:v>PASS</x:v>
      </x:c>
    </x:row>
    <x:row r="136" ht="15" hidden="0" customHeight="1">
      <x:c r="A136" s="36" t="str">
        <x:v>current pbc CLI</x:v>
      </x:c>
      <x:c r="B136" s="36" t="str">
        <x:v>3</x:v>
      </x:c>
      <x:c r="C136" s="36" t="str">
        <x:v>IX</x:v>
      </x:c>
      <x:c r="D136" s="42" t="str">
        <x:v>-2.461004071112</x:v>
      </x:c>
      <x:c r="E136" s="42" t="str">
        <x:v>0.600000</x:v>
      </x:c>
      <x:c r="F136" s="42" t="str">
        <x:v>-3.061004071112</x:v>
      </x:c>
      <x:c r="G136" s="42" t="str">
        <x:v>3.061004071112</x:v>
      </x:c>
      <x:c r="H136" s="36" t="str">
        <x:v>PASS</x:v>
      </x:c>
    </x:row>
    <x:row r="137" ht="15" hidden="0" customHeight="1">
      <x:c r="A137" s="36" t="str">
        <x:v>current pbc CLI</x:v>
      </x:c>
      <x:c r="B137" s="36" t="str">
        <x:v>3</x:v>
      </x:c>
      <x:c r="C137" s="36" t="str">
        <x:v>XI</x:v>
      </x:c>
      <x:c r="D137" s="42" t="str">
        <x:v>-62.523175264048</x:v>
      </x:c>
      <x:c r="E137" s="42" t="str">
        <x:v>0.160000</x:v>
      </x:c>
      <x:c r="F137" s="42" t="str">
        <x:v>-62.683175264048</x:v>
      </x:c>
      <x:c r="G137" s="42" t="str">
        <x:v>62.683175264048</x:v>
      </x:c>
      <x:c r="H137" s="36" t="str">
        <x:v>PASS</x:v>
      </x:c>
    </x:row>
    <x:row r="138" ht="15" hidden="0" customHeight="1">
      <x:c r="A138" s="36" t="str">
        <x:v>current pbc CLI</x:v>
      </x:c>
      <x:c r="B138" s="36" t="str">
        <x:v>3</x:v>
      </x:c>
      <x:c r="C138" s="36" t="str">
        <x:v>XIII</x:v>
      </x:c>
      <x:c r="D138" s="42" t="str">
        <x:v>0.926723486584</x:v>
      </x:c>
      <x:c r="E138" s="42" t="str">
        <x:v>2.120000</x:v>
      </x:c>
      <x:c r="F138" s="42" t="str">
        <x:v>-1.193276513416</x:v>
      </x:c>
      <x:c r="G138" s="42" t="str">
        <x:v>1.193276513416</x:v>
      </x:c>
      <x:c r="H138" s="36" t="str">
        <x:v>PASS</x:v>
      </x:c>
    </x:row>
    <x:row r="139" ht="15" hidden="0" customHeight="1">
      <x:c r="A139" s="36" t="str">
        <x:v>current pbc CLI</x:v>
      </x:c>
      <x:c r="B139" s="36" t="str">
        <x:v>3</x:v>
      </x:c>
      <x:c r="C139" s="36" t="str">
        <x:v>XIV</x:v>
      </x:c>
      <x:c r="D139" s="42" t="str">
        <x:v>-83.899718986935</x:v>
      </x:c>
      <x:c r="E139" s="42" t="str">
        <x:v>1.700000</x:v>
      </x:c>
      <x:c r="F139" s="42" t="str">
        <x:v>-85.599718986935</x:v>
      </x:c>
      <x:c r="G139" s="42" t="str">
        <x:v>85.599718986935</x:v>
      </x:c>
      <x:c r="H139" s="36" t="str">
        <x:v>PASS</x:v>
      </x:c>
    </x:row>
    <x:row r="140" ht="15" hidden="0" customHeight="1">
      <x:c r="A140" s="36" t="str">
        <x:v>current pbc CLI</x:v>
      </x:c>
      <x:c r="B140" s="36" t="str">
        <x:v>3</x:v>
      </x:c>
      <x:c r="C140" s="36" t="str">
        <x:v>XV</x:v>
      </x:c>
      <x:c r="D140" s="42" t="str">
        <x:v>-12.545503073689</x:v>
      </x:c>
      <x:c r="E140" s="42" t="str">
        <x:v>1.740000</x:v>
      </x:c>
      <x:c r="F140" s="42" t="str">
        <x:v>-14.285503073689</x:v>
      </x:c>
      <x:c r="G140" s="42" t="str">
        <x:v>14.285503073689</x:v>
      </x:c>
      <x:c r="H140" s="36" t="str">
        <x:v>PASS</x:v>
      </x:c>
    </x:row>
    <x:row r="141" ht="15" hidden="0" customHeight="1">
      <x:c r="A141" s="36" t="str">
        <x:v>current pbc CLI</x:v>
      </x:c>
      <x:c r="B141" s="36" t="str">
        <x:v>3</x:v>
      </x:c>
      <x:c r="C141" s="36" t="str">
        <x:v>XVII</x:v>
      </x:c>
      <x:c r="D141" s="42" t="str">
        <x:v>-10.466391957817</x:v>
      </x:c>
      <x:c r="E141" s="42" t="str">
        <x:v>1.750000</x:v>
      </x:c>
      <x:c r="F141" s="42" t="str">
        <x:v>-12.216391957817</x:v>
      </x:c>
      <x:c r="G141" s="42" t="str">
        <x:v>12.216391957817</x:v>
      </x:c>
      <x:c r="H141" s="36" t="str">
        <x:v>PASS</x:v>
      </x:c>
    </x:row>
    <x:row r="142" ht="15" hidden="0" customHeight="1">
      <x:c r="A142" s="36" t="str">
        <x:v>current pbc CLI</x:v>
      </x:c>
      <x:c r="B142" s="36" t="str">
        <x:v>4</x:v>
      </x:c>
      <x:c r="C142" s="36" t="str">
        <x:v>II</x:v>
      </x:c>
      <x:c r="D142" s="42" t="str">
        <x:v>-2.513150603252</x:v>
      </x:c>
      <x:c r="E142" s="42" t="str">
        <x:v>0.310000</x:v>
      </x:c>
      <x:c r="F142" s="42" t="str">
        <x:v>-2.823150603252</x:v>
      </x:c>
      <x:c r="G142" s="42" t="str">
        <x:v>2.823150603252</x:v>
      </x:c>
      <x:c r="H142" s="36" t="str">
        <x:v>PASS</x:v>
      </x:c>
    </x:row>
    <x:row r="143" ht="15" hidden="0" customHeight="1">
      <x:c r="A143" s="36" t="str">
        <x:v>current pbc CLI</x:v>
      </x:c>
      <x:c r="B143" s="36" t="str">
        <x:v>4</x:v>
      </x:c>
      <x:c r="C143" s="36" t="str">
        <x:v>III</x:v>
      </x:c>
      <x:c r="D143" s="42" t="str">
        <x:v>1.264029937698</x:v>
      </x:c>
      <x:c r="E143" s="42" t="str">
        <x:v>1.250000</x:v>
      </x:c>
      <x:c r="F143" s="42" t="str">
        <x:v>0.014029937698</x:v>
      </x:c>
      <x:c r="G143" s="42" t="str">
        <x:v>0.014029937698</x:v>
      </x:c>
      <x:c r="H143" s="36" t="str">
        <x:v>PASS</x:v>
      </x:c>
    </x:row>
    <x:row r="144" ht="15" hidden="0" customHeight="1">
      <x:c r="A144" s="36" t="str">
        <x:v>current pbc CLI</x:v>
      </x:c>
      <x:c r="B144" s="36" t="str">
        <x:v>4</x:v>
      </x:c>
      <x:c r="C144" s="36" t="str">
        <x:v>IV</x:v>
      </x:c>
      <x:c r="D144" s="42" t="str">
        <x:v>1.405712159485</x:v>
      </x:c>
      <x:c r="E144" s="42" t="str">
        <x:v>3.830000</x:v>
      </x:c>
      <x:c r="F144" s="42" t="str">
        <x:v>-2.424287840515</x:v>
      </x:c>
      <x:c r="G144" s="42" t="str">
        <x:v>2.424287840515</x:v>
      </x:c>
      <x:c r="H144" s="36" t="str">
        <x:v>PASS</x:v>
      </x:c>
    </x:row>
    <x:row r="145" ht="15" hidden="0" customHeight="1">
      <x:c r="A145" s="36" t="str">
        <x:v>current pbc CLI</x:v>
      </x:c>
      <x:c r="B145" s="36" t="str">
        <x:v>4</x:v>
      </x:c>
      <x:c r="C145" s="36" t="str">
        <x:v>VI</x:v>
      </x:c>
      <x:c r="D145" s="42" t="str">
        <x:v>-1.048061577331</x:v>
      </x:c>
      <x:c r="E145" s="42" t="str">
        <x:v>1.780000</x:v>
      </x:c>
      <x:c r="F145" s="42" t="str">
        <x:v>-2.828061577331</x:v>
      </x:c>
      <x:c r="G145" s="42" t="str">
        <x:v>2.828061577331</x:v>
      </x:c>
      <x:c r="H145" s="36" t="str">
        <x:v>PASS</x:v>
      </x:c>
    </x:row>
    <x:row r="146" ht="15" hidden="0" customHeight="1">
      <x:c r="A146" s="36" t="str">
        <x:v>current pbc CLI</x:v>
      </x:c>
      <x:c r="B146" s="36" t="str">
        <x:v>4</x:v>
      </x:c>
      <x:c r="C146" s="36" t="str">
        <x:v>VII</x:v>
      </x:c>
      <x:c r="D146" s="42" t="str">
        <x:v>-63.955235096392</x:v>
      </x:c>
      <x:c r="E146" s="42" t="str">
        <x:v>4.990000</x:v>
      </x:c>
      <x:c r="F146" s="42" t="str">
        <x:v>-68.945235096392</x:v>
      </x:c>
      <x:c r="G146" s="42" t="str">
        <x:v>68.945235096392</x:v>
      </x:c>
      <x:c r="H146" s="36" t="str">
        <x:v>PASS</x:v>
      </x:c>
    </x:row>
    <x:row r="147" ht="15" hidden="0" customHeight="1">
      <x:c r="A147" s="36" t="str">
        <x:v>current pbc CLI</x:v>
      </x:c>
      <x:c r="B147" s="36" t="str">
        <x:v>4</x:v>
      </x:c>
      <x:c r="C147" s="36" t="str">
        <x:v>VIII</x:v>
      </x:c>
      <x:c r="D147" s="42" t="str">
        <x:v>-6.163484047291</x:v>
      </x:c>
      <x:c r="E147" s="42" t="str">
        <x:v>4.230000</x:v>
      </x:c>
      <x:c r="F147" s="42" t="str">
        <x:v>-10.393484047291</x:v>
      </x:c>
      <x:c r="G147" s="42" t="str">
        <x:v>10.393484047291</x:v>
      </x:c>
      <x:c r="H147" s="36" t="str">
        <x:v>PASS</x:v>
      </x:c>
    </x:row>
    <x:row r="148" ht="15" hidden="0" customHeight="1">
      <x:c r="A148" s="36" t="str">
        <x:v>current pbc CLI</x:v>
      </x:c>
      <x:c r="B148" s="36" t="str">
        <x:v>4</x:v>
      </x:c>
      <x:c r="C148" s="36" t="str">
        <x:v>IX</x:v>
      </x:c>
      <x:c r="D148" s="42" t="str">
        <x:v>-0.372876272237</x:v>
      </x:c>
      <x:c r="E148" s="42" t="str">
        <x:v>0.600000</x:v>
      </x:c>
      <x:c r="F148" s="42" t="str">
        <x:v>-0.972876272237</x:v>
      </x:c>
      <x:c r="G148" s="42" t="str">
        <x:v>0.972876272237</x:v>
      </x:c>
      <x:c r="H148" s="36" t="str">
        <x:v>PASS</x:v>
      </x:c>
    </x:row>
    <x:row r="149" ht="15" hidden="0" customHeight="1">
      <x:c r="A149" s="36" t="str">
        <x:v>current pbc CLI</x:v>
      </x:c>
      <x:c r="B149" s="36" t="str">
        <x:v>4</x:v>
      </x:c>
      <x:c r="C149" s="36" t="str">
        <x:v>XI</x:v>
      </x:c>
      <x:c r="D149" s="42" t="str">
        <x:v>-14.875013200229</x:v>
      </x:c>
      <x:c r="E149" s="42" t="str">
        <x:v>0.160000</x:v>
      </x:c>
      <x:c r="F149" s="42" t="str">
        <x:v>-15.035013200229</x:v>
      </x:c>
      <x:c r="G149" s="42" t="str">
        <x:v>15.035013200229</x:v>
      </x:c>
      <x:c r="H149" s="36" t="str">
        <x:v>PASS</x:v>
      </x:c>
    </x:row>
    <x:row r="150" ht="15" hidden="0" customHeight="1">
      <x:c r="A150" s="36" t="str">
        <x:v>current pbc CLI</x:v>
      </x:c>
      <x:c r="B150" s="36" t="str">
        <x:v>4</x:v>
      </x:c>
      <x:c r="C150" s="36" t="str">
        <x:v>XIII</x:v>
      </x:c>
      <x:c r="D150" s="42" t="str">
        <x:v>0.123061371006</x:v>
      </x:c>
      <x:c r="E150" s="42" t="str">
        <x:v>2.120000</x:v>
      </x:c>
      <x:c r="F150" s="42" t="str">
        <x:v>-1.996938628994</x:v>
      </x:c>
      <x:c r="G150" s="42" t="str">
        <x:v>1.996938628994</x:v>
      </x:c>
      <x:c r="H150" s="36" t="str">
        <x:v>PASS</x:v>
      </x:c>
    </x:row>
    <x:row r="151" ht="15" hidden="0" customHeight="1">
      <x:c r="A151" s="36" t="str">
        <x:v>current pbc CLI</x:v>
      </x:c>
      <x:c r="B151" s="36" t="str">
        <x:v>4</x:v>
      </x:c>
      <x:c r="C151" s="36" t="str">
        <x:v>XIV</x:v>
      </x:c>
      <x:c r="D151" s="42" t="str">
        <x:v>-23.938106879109</x:v>
      </x:c>
      <x:c r="E151" s="42" t="str">
        <x:v>1.700000</x:v>
      </x:c>
      <x:c r="F151" s="42" t="str">
        <x:v>-25.638106879109</x:v>
      </x:c>
      <x:c r="G151" s="42" t="str">
        <x:v>25.638106879109</x:v>
      </x:c>
      <x:c r="H151" s="36" t="str">
        <x:v>PASS</x:v>
      </x:c>
    </x:row>
    <x:row r="152" ht="15" hidden="0" customHeight="1">
      <x:c r="A152" s="36" t="str">
        <x:v>current pbc CLI</x:v>
      </x:c>
      <x:c r="B152" s="36" t="str">
        <x:v>4</x:v>
      </x:c>
      <x:c r="C152" s="36" t="str">
        <x:v>XV</x:v>
      </x:c>
      <x:c r="D152" s="42" t="str">
        <x:v>-1.097393985422</x:v>
      </x:c>
      <x:c r="E152" s="42" t="str">
        <x:v>1.740000</x:v>
      </x:c>
      <x:c r="F152" s="42" t="str">
        <x:v>-2.837393985422</x:v>
      </x:c>
      <x:c r="G152" s="42" t="str">
        <x:v>2.837393985422</x:v>
      </x:c>
      <x:c r="H152" s="36" t="str">
        <x:v>PASS</x:v>
      </x:c>
    </x:row>
    <x:row r="153" ht="15" hidden="0" customHeight="1">
      <x:c r="A153" s="36" t="str">
        <x:v>current pbc CLI</x:v>
      </x:c>
      <x:c r="B153" s="36" t="str">
        <x:v>4</x:v>
      </x:c>
      <x:c r="C153" s="36" t="str">
        <x:v>XVII</x:v>
      </x:c>
      <x:c r="D153" s="42" t="str">
        <x:v>-0.727230275074</x:v>
      </x:c>
      <x:c r="E153" s="42" t="str">
        <x:v>1.750000</x:v>
      </x:c>
      <x:c r="F153" s="42" t="str">
        <x:v>-2.477230275074</x:v>
      </x:c>
      <x:c r="G153" s="42" t="str">
        <x:v>2.477230275074</x:v>
      </x:c>
      <x:c r="H153" s="36" t="str">
        <x:v>PASS</x:v>
      </x:c>
    </x:row>
    <x:row r="154" ht="15" hidden="0" customHeight="1">
      <x:c r="A154" s="36" t="str">
        <x:v>historical mstore-inorganic CLI</x:v>
      </x:c>
      <x:c r="B154" s="36" t="str">
        <x:v>2</x:v>
      </x:c>
      <x:c r="C154" s="36" t="str">
        <x:v>II</x:v>
      </x:c>
      <x:c r="D154" s="42" t="str">
        <x:v>11.549596417487</x:v>
      </x:c>
      <x:c r="E154" s="42" t="str">
        <x:v>0.310000</x:v>
      </x:c>
      <x:c r="F154" s="42" t="str">
        <x:v>11.239596417487</x:v>
      </x:c>
      <x:c r="G154" s="42" t="str">
        <x:v>11.239596417487</x:v>
      </x:c>
      <x:c r="H154" s="36" t="str">
        <x:v>PASS</x:v>
      </x:c>
    </x:row>
    <x:row r="155" ht="15" hidden="0" customHeight="1">
      <x:c r="A155" s="36" t="str">
        <x:v>historical mstore-inorganic CLI</x:v>
      </x:c>
      <x:c r="B155" s="36" t="str">
        <x:v>2</x:v>
      </x:c>
      <x:c r="C155" s="36" t="str">
        <x:v>III</x:v>
      </x:c>
      <x:c r="D155" s="42" t="str">
        <x:v>-29.811523391510</x:v>
      </x:c>
      <x:c r="E155" s="42" t="str">
        <x:v>1.250000</x:v>
      </x:c>
      <x:c r="F155" s="42" t="str">
        <x:v>-31.061523391510</x:v>
      </x:c>
      <x:c r="G155" s="42" t="str">
        <x:v>31.061523391510</x:v>
      </x:c>
      <x:c r="H155" s="36" t="str">
        <x:v>PASS</x:v>
      </x:c>
    </x:row>
    <x:row r="156" ht="15" hidden="0" customHeight="1">
      <x:c r="A156" s="36" t="str">
        <x:v>historical mstore-inorganic CLI</x:v>
      </x:c>
      <x:c r="B156" s="36" t="str">
        <x:v>2</x:v>
      </x:c>
      <x:c r="C156" s="36" t="str">
        <x:v>IV</x:v>
      </x:c>
      <x:c r="D156" s="42" t="str">
        <x:v>0.256599145141</x:v>
      </x:c>
      <x:c r="E156" s="42" t="str">
        <x:v>3.830000</x:v>
      </x:c>
      <x:c r="F156" s="42" t="str">
        <x:v>-3.573400854859</x:v>
      </x:c>
      <x:c r="G156" s="42" t="str">
        <x:v>3.573400854859</x:v>
      </x:c>
      <x:c r="H156" s="36" t="str">
        <x:v>PASS</x:v>
      </x:c>
    </x:row>
    <x:row r="157" ht="15" hidden="0" customHeight="1">
      <x:c r="A157" s="36" t="str">
        <x:v>historical mstore-inorganic CLI</x:v>
      </x:c>
      <x:c r="B157" s="36" t="str">
        <x:v>2</x:v>
      </x:c>
      <x:c r="C157" s="36" t="str">
        <x:v>VI</x:v>
      </x:c>
      <x:c r="D157" s="42" t="str">
        <x:v>-28.460677817350</x:v>
      </x:c>
      <x:c r="E157" s="42" t="str">
        <x:v>1.780000</x:v>
      </x:c>
      <x:c r="F157" s="42" t="str">
        <x:v>-30.240677817350</x:v>
      </x:c>
      <x:c r="G157" s="42" t="str">
        <x:v>30.240677817350</x:v>
      </x:c>
      <x:c r="H157" s="36" t="str">
        <x:v>PASS</x:v>
      </x:c>
    </x:row>
    <x:row r="158" ht="15" hidden="0" customHeight="1">
      <x:c r="A158" s="36" t="str">
        <x:v>historical mstore-inorganic CLI</x:v>
      </x:c>
      <x:c r="B158" s="36" t="str">
        <x:v>2</x:v>
      </x:c>
      <x:c r="C158" s="36" t="str">
        <x:v>VII</x:v>
      </x:c>
      <x:c r="D158" s="42" t="str">
        <x:v>-151.947965741842</x:v>
      </x:c>
      <x:c r="E158" s="42" t="str">
        <x:v>4.990000</x:v>
      </x:c>
      <x:c r="F158" s="42" t="str">
        <x:v>-156.937965741842</x:v>
      </x:c>
      <x:c r="G158" s="42" t="str">
        <x:v>156.937965741842</x:v>
      </x:c>
      <x:c r="H158" s="36" t="str">
        <x:v>PASS</x:v>
      </x:c>
    </x:row>
    <x:row r="159" ht="15" hidden="0" customHeight="1">
      <x:c r="A159" s="36" t="str">
        <x:v>historical mstore-inorganic CLI</x:v>
      </x:c>
      <x:c r="B159" s="36" t="str">
        <x:v>2</x:v>
      </x:c>
      <x:c r="C159" s="36" t="str">
        <x:v>VIII</x:v>
      </x:c>
      <x:c r="D159" s="42" t="str">
        <x:v>-77.417542603032</x:v>
      </x:c>
      <x:c r="E159" s="42" t="str">
        <x:v>4.230000</x:v>
      </x:c>
      <x:c r="F159" s="42" t="str">
        <x:v>-81.647542603032</x:v>
      </x:c>
      <x:c r="G159" s="42" t="str">
        <x:v>81.647542603032</x:v>
      </x:c>
      <x:c r="H159" s="36" t="str">
        <x:v>PASS</x:v>
      </x:c>
    </x:row>
    <x:row r="160" ht="15" hidden="0" customHeight="1">
      <x:c r="A160" s="36" t="str">
        <x:v>historical mstore-inorganic CLI</x:v>
      </x:c>
      <x:c r="B160" s="36" t="str">
        <x:v>2</x:v>
      </x:c>
      <x:c r="C160" s="36" t="str">
        <x:v>IX</x:v>
      </x:c>
      <x:c r="D160" s="42" t="str">
        <x:v>-24.470250890265</x:v>
      </x:c>
      <x:c r="E160" s="42" t="str">
        <x:v>0.600000</x:v>
      </x:c>
      <x:c r="F160" s="42" t="str">
        <x:v>-25.070250890265</x:v>
      </x:c>
      <x:c r="G160" s="42" t="str">
        <x:v>25.070250890265</x:v>
      </x:c>
      <x:c r="H160" s="36" t="str">
        <x:v>PASS</x:v>
      </x:c>
    </x:row>
    <x:row r="161" ht="15" hidden="0" customHeight="1">
      <x:c r="A161" s="36" t="str">
        <x:v>historical mstore-inorganic CLI</x:v>
      </x:c>
      <x:c r="B161" s="36" t="str">
        <x:v>2</x:v>
      </x:c>
      <x:c r="C161" s="36" t="str">
        <x:v>XI</x:v>
      </x:c>
      <x:c r="D161" s="42" t="str">
        <x:v>-84.549975905731</x:v>
      </x:c>
      <x:c r="E161" s="42" t="str">
        <x:v>0.160000</x:v>
      </x:c>
      <x:c r="F161" s="42" t="str">
        <x:v>-84.709975905731</x:v>
      </x:c>
      <x:c r="G161" s="42" t="str">
        <x:v>84.709975905731</x:v>
      </x:c>
      <x:c r="H161" s="36" t="str">
        <x:v>PASS</x:v>
      </x:c>
    </x:row>
    <x:row r="162" ht="15" hidden="0" customHeight="1">
      <x:c r="A162" s="36" t="str">
        <x:v>historical mstore-inorganic CLI</x:v>
      </x:c>
      <x:c r="B162" s="36" t="str">
        <x:v>2</x:v>
      </x:c>
      <x:c r="C162" s="36" t="str">
        <x:v>XIII</x:v>
      </x:c>
      <x:c r="D162" s="42" t="str">
        <x:v>0.922244833924</x:v>
      </x:c>
      <x:c r="E162" s="42" t="str">
        <x:v>2.120000</x:v>
      </x:c>
      <x:c r="F162" s="42" t="str">
        <x:v>-1.197755166076</x:v>
      </x:c>
      <x:c r="G162" s="42" t="str">
        <x:v>1.197755166076</x:v>
      </x:c>
      <x:c r="H162" s="36" t="str">
        <x:v>PASS</x:v>
      </x:c>
    </x:row>
    <x:row r="163" ht="15" hidden="0" customHeight="1">
      <x:c r="A163" s="36" t="str">
        <x:v>historical mstore-inorganic CLI</x:v>
      </x:c>
      <x:c r="B163" s="36" t="str">
        <x:v>2</x:v>
      </x:c>
      <x:c r="C163" s="36" t="str">
        <x:v>XIV</x:v>
      </x:c>
      <x:c r="D163" s="42" t="str">
        <x:v>-99.557194036284</x:v>
      </x:c>
      <x:c r="E163" s="42" t="str">
        <x:v>1.700000</x:v>
      </x:c>
      <x:c r="F163" s="42" t="str">
        <x:v>-101.257194036284</x:v>
      </x:c>
      <x:c r="G163" s="42" t="str">
        <x:v>101.257194036284</x:v>
      </x:c>
      <x:c r="H163" s="36" t="str">
        <x:v>PASS</x:v>
      </x:c>
    </x:row>
    <x:row r="164" ht="15" hidden="0" customHeight="1">
      <x:c r="A164" s="36" t="str">
        <x:v>historical mstore-inorganic CLI</x:v>
      </x:c>
      <x:c r="B164" s="36" t="str">
        <x:v>2</x:v>
      </x:c>
      <x:c r="C164" s="36" t="str">
        <x:v>XV</x:v>
      </x:c>
      <x:c r="D164" s="42" t="str">
        <x:v>-28.664951204286</x:v>
      </x:c>
      <x:c r="E164" s="42" t="str">
        <x:v>1.740000</x:v>
      </x:c>
      <x:c r="F164" s="42" t="str">
        <x:v>-30.404951204286</x:v>
      </x:c>
      <x:c r="G164" s="42" t="str">
        <x:v>30.404951204286</x:v>
      </x:c>
      <x:c r="H164" s="36" t="str">
        <x:v>PASS</x:v>
      </x:c>
    </x:row>
    <x:row r="165" ht="15" hidden="0" customHeight="1">
      <x:c r="A165" s="36" t="str">
        <x:v>historical mstore-inorganic CLI</x:v>
      </x:c>
      <x:c r="B165" s="36" t="str">
        <x:v>2</x:v>
      </x:c>
      <x:c r="C165" s="36" t="str">
        <x:v>XVII</x:v>
      </x:c>
      <x:c r="D165" s="42" t="str">
        <x:v>-25.438330429983</x:v>
      </x:c>
      <x:c r="E165" s="42" t="str">
        <x:v>1.750000</x:v>
      </x:c>
      <x:c r="F165" s="42" t="str">
        <x:v>-27.188330429983</x:v>
      </x:c>
      <x:c r="G165" s="42" t="str">
        <x:v>27.188330429983</x:v>
      </x:c>
      <x:c r="H165" s="36" t="str">
        <x:v>PASS</x:v>
      </x:c>
    </x:row>
    <x:row r="166" ht="15" hidden="0" customHeight="1">
      <x:c r="A166" s="36" t="str">
        <x:v>historical mstore-inorganic CLI</x:v>
      </x:c>
      <x:c r="B166" s="36" t="str">
        <x:v>3</x:v>
      </x:c>
      <x:c r="C166" s="36" t="str">
        <x:v>II</x:v>
      </x:c>
      <x:c r="D166" s="42" t="str">
        <x:v>-0.279988209907</x:v>
      </x:c>
      <x:c r="E166" s="42" t="str">
        <x:v>0.310000</x:v>
      </x:c>
      <x:c r="F166" s="42" t="str">
        <x:v>-0.589988209907</x:v>
      </x:c>
      <x:c r="G166" s="42" t="str">
        <x:v>0.589988209907</x:v>
      </x:c>
      <x:c r="H166" s="36" t="str">
        <x:v>PASS</x:v>
      </x:c>
    </x:row>
    <x:row r="167" ht="15" hidden="0" customHeight="1">
      <x:c r="A167" s="36" t="str">
        <x:v>historical mstore-inorganic CLI</x:v>
      </x:c>
      <x:c r="B167" s="36" t="str">
        <x:v>3</x:v>
      </x:c>
      <x:c r="C167" s="36" t="str">
        <x:v>III</x:v>
      </x:c>
      <x:c r="D167" s="42" t="str">
        <x:v>-1.720202220170</x:v>
      </x:c>
      <x:c r="E167" s="42" t="str">
        <x:v>1.250000</x:v>
      </x:c>
      <x:c r="F167" s="42" t="str">
        <x:v>-2.970202220170</x:v>
      </x:c>
      <x:c r="G167" s="42" t="str">
        <x:v>2.970202220170</x:v>
      </x:c>
      <x:c r="H167" s="36" t="str">
        <x:v>PASS</x:v>
      </x:c>
    </x:row>
    <x:row r="168" ht="15" hidden="0" customHeight="1">
      <x:c r="A168" s="36" t="str">
        <x:v>historical mstore-inorganic CLI</x:v>
      </x:c>
      <x:c r="B168" s="36" t="str">
        <x:v>3</x:v>
      </x:c>
      <x:c r="C168" s="36" t="str">
        <x:v>IV</x:v>
      </x:c>
      <x:c r="D168" s="42" t="str">
        <x:v>1.653583137544</x:v>
      </x:c>
      <x:c r="E168" s="42" t="str">
        <x:v>3.830000</x:v>
      </x:c>
      <x:c r="F168" s="42" t="str">
        <x:v>-2.176416862456</x:v>
      </x:c>
      <x:c r="G168" s="42" t="str">
        <x:v>2.176416862456</x:v>
      </x:c>
      <x:c r="H168" s="36" t="str">
        <x:v>PASS</x:v>
      </x:c>
    </x:row>
    <x:row r="169" ht="15" hidden="0" customHeight="1">
      <x:c r="A169" s="36" t="str">
        <x:v>historical mstore-inorganic CLI</x:v>
      </x:c>
      <x:c r="B169" s="36" t="str">
        <x:v>3</x:v>
      </x:c>
      <x:c r="C169" s="36" t="str">
        <x:v>VI</x:v>
      </x:c>
      <x:c r="D169" s="42" t="str">
        <x:v>-5.912105883998</x:v>
      </x:c>
      <x:c r="E169" s="42" t="str">
        <x:v>1.780000</x:v>
      </x:c>
      <x:c r="F169" s="42" t="str">
        <x:v>-7.692105883998</x:v>
      </x:c>
      <x:c r="G169" s="42" t="str">
        <x:v>7.692105883998</x:v>
      </x:c>
      <x:c r="H169" s="36" t="str">
        <x:v>PASS</x:v>
      </x:c>
    </x:row>
    <x:row r="170" ht="15" hidden="0" customHeight="1">
      <x:c r="A170" s="36" t="str">
        <x:v>historical mstore-inorganic CLI</x:v>
      </x:c>
      <x:c r="B170" s="36" t="str">
        <x:v>3</x:v>
      </x:c>
      <x:c r="C170" s="36" t="str">
        <x:v>VII</x:v>
      </x:c>
      <x:c r="D170" s="42" t="str">
        <x:v>-77.446667006181</x:v>
      </x:c>
      <x:c r="E170" s="42" t="str">
        <x:v>4.990000</x:v>
      </x:c>
      <x:c r="F170" s="42" t="str">
        <x:v>-82.436667006181</x:v>
      </x:c>
      <x:c r="G170" s="42" t="str">
        <x:v>82.436667006181</x:v>
      </x:c>
      <x:c r="H170" s="36" t="str">
        <x:v>PASS</x:v>
      </x:c>
    </x:row>
    <x:row r="171" ht="15" hidden="0" customHeight="1">
      <x:c r="A171" s="36" t="str">
        <x:v>historical mstore-inorganic CLI</x:v>
      </x:c>
      <x:c r="B171" s="36" t="str">
        <x:v>3</x:v>
      </x:c>
      <x:c r="C171" s="36" t="str">
        <x:v>VIII</x:v>
      </x:c>
      <x:c r="D171" s="42" t="str">
        <x:v>-19.706722185486</x:v>
      </x:c>
      <x:c r="E171" s="42" t="str">
        <x:v>4.230000</x:v>
      </x:c>
      <x:c r="F171" s="42" t="str">
        <x:v>-23.936722185486</x:v>
      </x:c>
      <x:c r="G171" s="42" t="str">
        <x:v>23.936722185486</x:v>
      </x:c>
      <x:c r="H171" s="36" t="str">
        <x:v>PASS</x:v>
      </x:c>
    </x:row>
    <x:row r="172" ht="15" hidden="0" customHeight="1">
      <x:c r="A172" s="36" t="str">
        <x:v>historical mstore-inorganic CLI</x:v>
      </x:c>
      <x:c r="B172" s="36" t="str">
        <x:v>3</x:v>
      </x:c>
      <x:c r="C172" s="36" t="str">
        <x:v>IX</x:v>
      </x:c>
      <x:c r="D172" s="42" t="str">
        <x:v>-2.774771626398</x:v>
      </x:c>
      <x:c r="E172" s="42" t="str">
        <x:v>0.600000</x:v>
      </x:c>
      <x:c r="F172" s="42" t="str">
        <x:v>-3.374771626398</x:v>
      </x:c>
      <x:c r="G172" s="42" t="str">
        <x:v>3.374771626398</x:v>
      </x:c>
      <x:c r="H172" s="36" t="str">
        <x:v>PASS</x:v>
      </x:c>
    </x:row>
    <x:row r="173" ht="15" hidden="0" customHeight="1">
      <x:c r="A173" s="36" t="str">
        <x:v>historical mstore-inorganic CLI</x:v>
      </x:c>
      <x:c r="B173" s="36" t="str">
        <x:v>3</x:v>
      </x:c>
      <x:c r="C173" s="36" t="str">
        <x:v>XI</x:v>
      </x:c>
      <x:c r="D173" s="42" t="str">
        <x:v>-31.168750655955</x:v>
      </x:c>
      <x:c r="E173" s="42" t="str">
        <x:v>0.160000</x:v>
      </x:c>
      <x:c r="F173" s="42" t="str">
        <x:v>-31.328750655955</x:v>
      </x:c>
      <x:c r="G173" s="42" t="str">
        <x:v>31.328750655955</x:v>
      </x:c>
      <x:c r="H173" s="36" t="str">
        <x:v>PASS</x:v>
      </x:c>
    </x:row>
    <x:row r="174" ht="15" hidden="0" customHeight="1">
      <x:c r="A174" s="36" t="str">
        <x:v>historical mstore-inorganic CLI</x:v>
      </x:c>
      <x:c r="B174" s="36" t="str">
        <x:v>3</x:v>
      </x:c>
      <x:c r="C174" s="36" t="str">
        <x:v>XIII</x:v>
      </x:c>
      <x:c r="D174" s="42" t="str">
        <x:v>0.442953962487</x:v>
      </x:c>
      <x:c r="E174" s="42" t="str">
        <x:v>2.120000</x:v>
      </x:c>
      <x:c r="F174" s="42" t="str">
        <x:v>-1.677046037513</x:v>
      </x:c>
      <x:c r="G174" s="42" t="str">
        <x:v>1.677046037513</x:v>
      </x:c>
      <x:c r="H174" s="36" t="str">
        <x:v>PASS</x:v>
      </x:c>
    </x:row>
    <x:row r="175" ht="15" hidden="0" customHeight="1">
      <x:c r="A175" s="36" t="str">
        <x:v>historical mstore-inorganic CLI</x:v>
      </x:c>
      <x:c r="B175" s="36" t="str">
        <x:v>3</x:v>
      </x:c>
      <x:c r="C175" s="36" t="str">
        <x:v>XIV</x:v>
      </x:c>
      <x:c r="D175" s="42" t="str">
        <x:v>-41.779791859131</x:v>
      </x:c>
      <x:c r="E175" s="42" t="str">
        <x:v>1.700000</x:v>
      </x:c>
      <x:c r="F175" s="42" t="str">
        <x:v>-43.479791859131</x:v>
      </x:c>
      <x:c r="G175" s="42" t="str">
        <x:v>43.479791859131</x:v>
      </x:c>
      <x:c r="H175" s="36" t="str">
        <x:v>PASS</x:v>
      </x:c>
    </x:row>
    <x:row r="176" ht="15" hidden="0" customHeight="1">
      <x:c r="A176" s="36" t="str">
        <x:v>historical mstore-inorganic CLI</x:v>
      </x:c>
      <x:c r="B176" s="36" t="str">
        <x:v>3</x:v>
      </x:c>
      <x:c r="C176" s="36" t="str">
        <x:v>XV</x:v>
      </x:c>
      <x:c r="D176" s="42" t="str">
        <x:v>-5.934441749535</x:v>
      </x:c>
      <x:c r="E176" s="42" t="str">
        <x:v>1.740000</x:v>
      </x:c>
      <x:c r="F176" s="42" t="str">
        <x:v>-7.674441749535</x:v>
      </x:c>
      <x:c r="G176" s="42" t="str">
        <x:v>7.674441749535</x:v>
      </x:c>
      <x:c r="H176" s="36" t="str">
        <x:v>PASS</x:v>
      </x:c>
    </x:row>
    <x:row r="177" ht="15" hidden="0" customHeight="1">
      <x:c r="A177" s="36" t="str">
        <x:v>historical mstore-inorganic CLI</x:v>
      </x:c>
      <x:c r="B177" s="36" t="str">
        <x:v>3</x:v>
      </x:c>
      <x:c r="C177" s="36" t="str">
        <x:v>XVII</x:v>
      </x:c>
      <x:c r="D177" s="42" t="str">
        <x:v>-4.880577524129</x:v>
      </x:c>
      <x:c r="E177" s="42" t="str">
        <x:v>1.750000</x:v>
      </x:c>
      <x:c r="F177" s="42" t="str">
        <x:v>-6.630577524129</x:v>
      </x:c>
      <x:c r="G177" s="42" t="str">
        <x:v>6.630577524129</x:v>
      </x:c>
      <x:c r="H177" s="36" t="str">
        <x:v>PASS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5.75" hidden="0" customWidth="1"/>
    <x:col min="4" max="4" width="23.75" hidden="0" customWidth="1"/>
    <x:col min="5" max="5" width="32" hidden="0" customWidth="1"/>
    <x:col min="6" max="6" width="28.8799991607666" hidden="0" customWidth="1"/>
    <x:col min="7" max="7" width="29.3799991607666" hidden="0" customWidth="1"/>
    <x:col min="8" max="8" width="32" hidden="0" customWidth="1"/>
    <x:col min="9" max="9" width="13.380000114440918" hidden="0" customWidth="1"/>
    <x:col min="10" max="10" width="16" hidden="0" customWidth="1"/>
    <x:col min="11" max="11" width="14.630000114440918" hidden="0" customWidth="1"/>
  </x:cols>
  <x:sheetData>
    <x:row r="1" ht="34" hidden="0" customHeight="1">
      <x:c r="A1" s="39" t="str">
        <x:v>mesh_n</x:v>
      </x:c>
      <x:c r="B1" s="39" t="str">
        <x:v>phase</x:v>
      </x:c>
      <x:c r="C1" s="39" t="str">
        <x:v>dmc_reference_kj_mol_per_H2O</x:v>
      </x:c>
      <x:c r="D1" s="39" t="str">
        <x:v>pbc_relative_kj_mol_per_H2O</x:v>
      </x:c>
      <x:c r="E1" s="39" t="str">
        <x:v>mstore_inorganic_relative_kj_mol_per_H2O</x:v>
      </x:c>
      <x:c r="F1" s="39" t="str">
        <x:v>mstore_minus_pbc_kj_mol_per_H2O</x:v>
      </x:c>
      <x:c r="G1" s="39" t="str">
        <x:v>pbc_absolute_error_kj_mol_per_H2O</x:v>
      </x:c>
      <x:c r="H1" s="39" t="str">
        <x:v>mstore_absolute_error_kj_mol_per_H2O</x:v>
      </x:c>
      <x:c r="I1" s="39" t="str">
        <x:v>pbc_cli_accuracy</x:v>
      </x:c>
      <x:c r="J1" s="39" t="str">
        <x:v>mstore_cli_accuracy</x:v>
      </x:c>
      <x:c r="K1" s="39" t="str">
        <x:v>same_cli_accuracy</x:v>
      </x:c>
    </x:row>
    <x:row r="2" ht="15" hidden="0" customHeight="1">
      <x:c r="A2" s="36" t="str">
        <x:v>2</x:v>
      </x:c>
      <x:c r="B2" s="36" t="str">
        <x:v>II</x:v>
      </x:c>
      <x:c r="C2" s="36" t="str">
        <x:v>0.310000</x:v>
      </x:c>
      <x:c r="D2" s="42" t="str">
        <x:v>-40.052769548562</x:v>
      </x:c>
      <x:c r="E2" s="42" t="str">
        <x:v>11.549596417487</x:v>
      </x:c>
      <x:c r="F2" s="42" t="str">
        <x:v>51.602365966049</x:v>
      </x:c>
      <x:c r="G2" s="42" t="str">
        <x:v>40.362769548562</x:v>
      </x:c>
      <x:c r="H2" s="42" t="str">
        <x:v>11.239596417487</x:v>
      </x:c>
      <x:c r="I2" s="36" t="str">
        <x:v>0.1</x:v>
      </x:c>
      <x:c r="J2" s="36" t="str">
        <x:v>0.1</x:v>
      </x:c>
      <x:c r="K2" s="36" t="str">
        <x:v>true</x:v>
      </x:c>
    </x:row>
    <x:row r="3" ht="15" hidden="0" customHeight="1">
      <x:c r="A3" s="36" t="str">
        <x:v>2</x:v>
      </x:c>
      <x:c r="B3" s="36" t="str">
        <x:v>III</x:v>
      </x:c>
      <x:c r="C3" s="36" t="str">
        <x:v>1.250000</x:v>
      </x:c>
      <x:c r="D3" s="42" t="str">
        <x:v>-21.669458368756</x:v>
      </x:c>
      <x:c r="E3" s="42" t="str">
        <x:v>-29.811523391510</x:v>
      </x:c>
      <x:c r="F3" s="42" t="str">
        <x:v>-8.142065022754</x:v>
      </x:c>
      <x:c r="G3" s="42" t="str">
        <x:v>22.919458368756</x:v>
      </x:c>
      <x:c r="H3" s="42" t="str">
        <x:v>31.061523391510</x:v>
      </x:c>
      <x:c r="I3" s="36" t="str">
        <x:v>0.1</x:v>
      </x:c>
      <x:c r="J3" s="36" t="str">
        <x:v>0.1</x:v>
      </x:c>
      <x:c r="K3" s="36" t="str">
        <x:v>true</x:v>
      </x:c>
    </x:row>
    <x:row r="4" ht="15" hidden="0" customHeight="1">
      <x:c r="A4" s="36" t="str">
        <x:v>2</x:v>
      </x:c>
      <x:c r="B4" s="36" t="str">
        <x:v>IV</x:v>
      </x:c>
      <x:c r="C4" s="36" t="str">
        <x:v>3.830000</x:v>
      </x:c>
      <x:c r="D4" s="42" t="str">
        <x:v>14.926647908813</x:v>
      </x:c>
      <x:c r="E4" s="42" t="str">
        <x:v>0.256599145141</x:v>
      </x:c>
      <x:c r="F4" s="42" t="str">
        <x:v>-14.670048763672</x:v>
      </x:c>
      <x:c r="G4" s="42" t="str">
        <x:v>11.096647908813</x:v>
      </x:c>
      <x:c r="H4" s="42" t="str">
        <x:v>3.573400854859</x:v>
      </x:c>
      <x:c r="I4" s="36" t="str">
        <x:v>0.1</x:v>
      </x:c>
      <x:c r="J4" s="36" t="str">
        <x:v>0.1</x:v>
      </x:c>
      <x:c r="K4" s="36" t="str">
        <x:v>true</x:v>
      </x:c>
    </x:row>
    <x:row r="5" ht="15" hidden="0" customHeight="1">
      <x:c r="A5" s="36" t="str">
        <x:v>2</x:v>
      </x:c>
      <x:c r="B5" s="36" t="str">
        <x:v>VI</x:v>
      </x:c>
      <x:c r="C5" s="36" t="str">
        <x:v>1.780000</x:v>
      </x:c>
      <x:c r="D5" s="42" t="str">
        <x:v>-57.367276074495</x:v>
      </x:c>
      <x:c r="E5" s="42" t="str">
        <x:v>-28.460677817350</x:v>
      </x:c>
      <x:c r="F5" s="42" t="str">
        <x:v>28.906598257145</x:v>
      </x:c>
      <x:c r="G5" s="42" t="str">
        <x:v>59.147276074495</x:v>
      </x:c>
      <x:c r="H5" s="42" t="str">
        <x:v>30.240677817350</x:v>
      </x:c>
      <x:c r="I5" s="36" t="str">
        <x:v>0.1</x:v>
      </x:c>
      <x:c r="J5" s="36" t="str">
        <x:v>0.1</x:v>
      </x:c>
      <x:c r="K5" s="36" t="str">
        <x:v>true</x:v>
      </x:c>
    </x:row>
    <x:row r="6" ht="15" hidden="0" customHeight="1">
      <x:c r="A6" s="36" t="str">
        <x:v>2</x:v>
      </x:c>
      <x:c r="B6" s="36" t="str">
        <x:v>VII</x:v>
      </x:c>
      <x:c r="C6" s="36" t="str">
        <x:v>4.990000</x:v>
      </x:c>
      <x:c r="D6" s="42" t="str">
        <x:v>-299.975204903283</x:v>
      </x:c>
      <x:c r="E6" s="42" t="str">
        <x:v>-151.947965741842</x:v>
      </x:c>
      <x:c r="F6" s="42" t="str">
        <x:v>148.027239161441</x:v>
      </x:c>
      <x:c r="G6" s="42" t="str">
        <x:v>304.965204903283</x:v>
      </x:c>
      <x:c r="H6" s="42" t="str">
        <x:v>156.937965741842</x:v>
      </x:c>
      <x:c r="I6" s="36" t="str">
        <x:v>0.1</x:v>
      </x:c>
      <x:c r="J6" s="36" t="str">
        <x:v>0.1</x:v>
      </x:c>
      <x:c r="K6" s="36" t="str">
        <x:v>true</x:v>
      </x:c>
    </x:row>
    <x:row r="7" ht="15" hidden="0" customHeight="1">
      <x:c r="A7" s="36" t="str">
        <x:v>2</x:v>
      </x:c>
      <x:c r="B7" s="36" t="str">
        <x:v>VIII</x:v>
      </x:c>
      <x:c r="C7" s="36" t="str">
        <x:v>4.230000</x:v>
      </x:c>
      <x:c r="D7" s="42" t="str">
        <x:v>-121.493623038083</x:v>
      </x:c>
      <x:c r="E7" s="42" t="str">
        <x:v>-77.417542603032</x:v>
      </x:c>
      <x:c r="F7" s="42" t="str">
        <x:v>44.076080435051</x:v>
      </x:c>
      <x:c r="G7" s="42" t="str">
        <x:v>125.723623038083</x:v>
      </x:c>
      <x:c r="H7" s="42" t="str">
        <x:v>81.647542603032</x:v>
      </x:c>
      <x:c r="I7" s="36" t="str">
        <x:v>0.1</x:v>
      </x:c>
      <x:c r="J7" s="36" t="str">
        <x:v>0.1</x:v>
      </x:c>
      <x:c r="K7" s="36" t="str">
        <x:v>true</x:v>
      </x:c>
    </x:row>
    <x:row r="8" ht="15" hidden="0" customHeight="1">
      <x:c r="A8" s="36" t="str">
        <x:v>2</x:v>
      </x:c>
      <x:c r="B8" s="36" t="str">
        <x:v>IX</x:v>
      </x:c>
      <x:c r="C8" s="36" t="str">
        <x:v>0.600000</x:v>
      </x:c>
      <x:c r="D8" s="42" t="str">
        <x:v>-14.811033266160</x:v>
      </x:c>
      <x:c r="E8" s="42" t="str">
        <x:v>-24.470250890265</x:v>
      </x:c>
      <x:c r="F8" s="42" t="str">
        <x:v>-9.659217624105</x:v>
      </x:c>
      <x:c r="G8" s="42" t="str">
        <x:v>15.411033266160</x:v>
      </x:c>
      <x:c r="H8" s="42" t="str">
        <x:v>25.070250890265</x:v>
      </x:c>
      <x:c r="I8" s="36" t="str">
        <x:v>0.1</x:v>
      </x:c>
      <x:c r="J8" s="36" t="str">
        <x:v>0.1</x:v>
      </x:c>
      <x:c r="K8" s="36" t="str">
        <x:v>true</x:v>
      </x:c>
    </x:row>
    <x:row r="9" ht="15" hidden="0" customHeight="1">
      <x:c r="A9" s="36" t="str">
        <x:v>2</x:v>
      </x:c>
      <x:c r="B9" s="36" t="str">
        <x:v>XI</x:v>
      </x:c>
      <x:c r="C9" s="36" t="str">
        <x:v>0.160000</x:v>
      </x:c>
      <x:c r="D9" s="42" t="str">
        <x:v>-165.236809268426</x:v>
      </x:c>
      <x:c r="E9" s="42" t="str">
        <x:v>-84.549975905731</x:v>
      </x:c>
      <x:c r="F9" s="42" t="str">
        <x:v>80.686833362695</x:v>
      </x:c>
      <x:c r="G9" s="42" t="str">
        <x:v>165.396809268426</x:v>
      </x:c>
      <x:c r="H9" s="42" t="str">
        <x:v>84.709975905731</x:v>
      </x:c>
      <x:c r="I9" s="36" t="str">
        <x:v>0.1</x:v>
      </x:c>
      <x:c r="J9" s="36" t="str">
        <x:v>0.1</x:v>
      </x:c>
      <x:c r="K9" s="36" t="str">
        <x:v>true</x:v>
      </x:c>
    </x:row>
    <x:row r="10" ht="15" hidden="0" customHeight="1">
      <x:c r="A10" s="36" t="str">
        <x:v>2</x:v>
      </x:c>
      <x:c r="B10" s="36" t="str">
        <x:v>XIII</x:v>
      </x:c>
      <x:c r="C10" s="36" t="str">
        <x:v>2.120000</x:v>
      </x:c>
      <x:c r="D10" s="42" t="str">
        <x:v>6.872357662713</x:v>
      </x:c>
      <x:c r="E10" s="42" t="str">
        <x:v>0.922244833924</x:v>
      </x:c>
      <x:c r="F10" s="42" t="str">
        <x:v>-5.950112828789</x:v>
      </x:c>
      <x:c r="G10" s="42" t="str">
        <x:v>4.752357662713</x:v>
      </x:c>
      <x:c r="H10" s="42" t="str">
        <x:v>1.197755166076</x:v>
      </x:c>
      <x:c r="I10" s="36" t="str">
        <x:v>0.1</x:v>
      </x:c>
      <x:c r="J10" s="36" t="str">
        <x:v>0.1</x:v>
      </x:c>
      <x:c r="K10" s="36" t="str">
        <x:v>true</x:v>
      </x:c>
    </x:row>
    <x:row r="11" ht="15" hidden="0" customHeight="1">
      <x:c r="A11" s="36" t="str">
        <x:v>2</x:v>
      </x:c>
      <x:c r="B11" s="36" t="str">
        <x:v>XIV</x:v>
      </x:c>
      <x:c r="C11" s="36" t="str">
        <x:v>1.700000</x:v>
      </x:c>
      <x:c r="D11" s="42" t="str">
        <x:v>-199.607041791688</x:v>
      </x:c>
      <x:c r="E11" s="42" t="str">
        <x:v>-99.557194036284</x:v>
      </x:c>
      <x:c r="F11" s="42" t="str">
        <x:v>100.049847755404</x:v>
      </x:c>
      <x:c r="G11" s="42" t="str">
        <x:v>201.307041791688</x:v>
      </x:c>
      <x:c r="H11" s="42" t="str">
        <x:v>101.257194036284</x:v>
      </x:c>
      <x:c r="I11" s="36" t="str">
        <x:v>0.1</x:v>
      </x:c>
      <x:c r="J11" s="36" t="str">
        <x:v>0.1</x:v>
      </x:c>
      <x:c r="K11" s="36" t="str">
        <x:v>true</x:v>
      </x:c>
    </x:row>
    <x:row r="12" ht="15" hidden="0" customHeight="1">
      <x:c r="A12" s="36" t="str">
        <x:v>2</x:v>
      </x:c>
      <x:c r="B12" s="36" t="str">
        <x:v>XV</x:v>
      </x:c>
      <x:c r="C12" s="36" t="str">
        <x:v>1.740000</x:v>
      </x:c>
      <x:c r="D12" s="42" t="str">
        <x:v>-58.045564075785</x:v>
      </x:c>
      <x:c r="E12" s="42" t="str">
        <x:v>-28.664951204286</x:v>
      </x:c>
      <x:c r="F12" s="42" t="str">
        <x:v>29.380612871499</x:v>
      </x:c>
      <x:c r="G12" s="42" t="str">
        <x:v>59.785564075785</x:v>
      </x:c>
      <x:c r="H12" s="42" t="str">
        <x:v>30.404951204286</x:v>
      </x:c>
      <x:c r="I12" s="36" t="str">
        <x:v>0.1</x:v>
      </x:c>
      <x:c r="J12" s="36" t="str">
        <x:v>0.1</x:v>
      </x:c>
      <x:c r="K12" s="36" t="str">
        <x:v>true</x:v>
      </x:c>
    </x:row>
    <x:row r="13" ht="15" hidden="0" customHeight="1">
      <x:c r="A13" s="36" t="str">
        <x:v>2</x:v>
      </x:c>
      <x:c r="B13" s="36" t="str">
        <x:v>XVII</x:v>
      </x:c>
      <x:c r="C13" s="36" t="str">
        <x:v>1.750000</x:v>
      </x:c>
      <x:c r="D13" s="42" t="str">
        <x:v>-51.558720983607</x:v>
      </x:c>
      <x:c r="E13" s="42" t="str">
        <x:v>-25.438330429983</x:v>
      </x:c>
      <x:c r="F13" s="42" t="str">
        <x:v>26.120390553624</x:v>
      </x:c>
      <x:c r="G13" s="42" t="str">
        <x:v>53.308720983607</x:v>
      </x:c>
      <x:c r="H13" s="42" t="str">
        <x:v>27.188330429983</x:v>
      </x:c>
      <x:c r="I13" s="36" t="str">
        <x:v>0.1</x:v>
      </x:c>
      <x:c r="J13" s="36" t="str">
        <x:v>0.1</x:v>
      </x:c>
      <x:c r="K13" s="36" t="str">
        <x:v>true</x:v>
      </x:c>
    </x:row>
    <x:row r="14" ht="15" hidden="0" customHeight="1">
      <x:c r="A14" s="36" t="str">
        <x:v>3</x:v>
      </x:c>
      <x:c r="B14" s="36" t="str">
        <x:v>II</x:v>
      </x:c>
      <x:c r="C14" s="36" t="str">
        <x:v>0.310000</x:v>
      </x:c>
      <x:c r="D14" s="42" t="str">
        <x:v>-9.052128552229</x:v>
      </x:c>
      <x:c r="E14" s="42" t="str">
        <x:v>-0.279988209907</x:v>
      </x:c>
      <x:c r="F14" s="42" t="str">
        <x:v>8.772140342322</x:v>
      </x:c>
      <x:c r="G14" s="42" t="str">
        <x:v>9.362128552229</x:v>
      </x:c>
      <x:c r="H14" s="42" t="str">
        <x:v>0.589988209907</x:v>
      </x:c>
      <x:c r="I14" s="36" t="str">
        <x:v>0.1</x:v>
      </x:c>
      <x:c r="J14" s="36" t="str">
        <x:v>0.1</x:v>
      </x:c>
      <x:c r="K14" s="36" t="str">
        <x:v>true</x:v>
      </x:c>
    </x:row>
    <x:row r="15" ht="15" hidden="0" customHeight="1">
      <x:c r="A15" s="36" t="str">
        <x:v>3</x:v>
      </x:c>
      <x:c r="B15" s="36" t="str">
        <x:v>III</x:v>
      </x:c>
      <x:c r="C15" s="36" t="str">
        <x:v>1.250000</x:v>
      </x:c>
      <x:c r="D15" s="42" t="str">
        <x:v>-2.299617048110</x:v>
      </x:c>
      <x:c r="E15" s="42" t="str">
        <x:v>-1.720202220170</x:v>
      </x:c>
      <x:c r="F15" s="42" t="str">
        <x:v>0.579414827940</x:v>
      </x:c>
      <x:c r="G15" s="42" t="str">
        <x:v>3.549617048110</x:v>
      </x:c>
      <x:c r="H15" s="42" t="str">
        <x:v>2.970202220170</x:v>
      </x:c>
      <x:c r="I15" s="36" t="str">
        <x:v>0.1</x:v>
      </x:c>
      <x:c r="J15" s="36" t="str">
        <x:v>0.1</x:v>
      </x:c>
      <x:c r="K15" s="36" t="str">
        <x:v>true</x:v>
      </x:c>
    </x:row>
    <x:row r="16" ht="15" hidden="0" customHeight="1">
      <x:c r="A16" s="36" t="str">
        <x:v>3</x:v>
      </x:c>
      <x:c r="B16" s="36" t="str">
        <x:v>IV</x:v>
      </x:c>
      <x:c r="C16" s="36" t="str">
        <x:v>3.830000</x:v>
      </x:c>
      <x:c r="D16" s="42" t="str">
        <x:v>2.904340310370</x:v>
      </x:c>
      <x:c r="E16" s="42" t="str">
        <x:v>1.653583137544</x:v>
      </x:c>
      <x:c r="F16" s="42" t="str">
        <x:v>-1.250757172826</x:v>
      </x:c>
      <x:c r="G16" s="42" t="str">
        <x:v>0.925659689630</x:v>
      </x:c>
      <x:c r="H16" s="42" t="str">
        <x:v>2.176416862456</x:v>
      </x:c>
      <x:c r="I16" s="36" t="str">
        <x:v>0.1</x:v>
      </x:c>
      <x:c r="J16" s="36" t="str">
        <x:v>0.1</x:v>
      </x:c>
      <x:c r="K16" s="36" t="str">
        <x:v>true</x:v>
      </x:c>
    </x:row>
    <x:row r="17" ht="15" hidden="0" customHeight="1">
      <x:c r="A17" s="36" t="str">
        <x:v>3</x:v>
      </x:c>
      <x:c r="B17" s="36" t="str">
        <x:v>VI</x:v>
      </x:c>
      <x:c r="C17" s="36" t="str">
        <x:v>1.780000</x:v>
      </x:c>
      <x:c r="D17" s="42" t="str">
        <x:v>-12.321031303355</x:v>
      </x:c>
      <x:c r="E17" s="42" t="str">
        <x:v>-5.912105883998</x:v>
      </x:c>
      <x:c r="F17" s="42" t="str">
        <x:v>6.408925419357</x:v>
      </x:c>
      <x:c r="G17" s="42" t="str">
        <x:v>14.101031303355</x:v>
      </x:c>
      <x:c r="H17" s="42" t="str">
        <x:v>7.692105883998</x:v>
      </x:c>
      <x:c r="I17" s="36" t="str">
        <x:v>0.1</x:v>
      </x:c>
      <x:c r="J17" s="36" t="str">
        <x:v>0.1</x:v>
      </x:c>
      <x:c r="K17" s="36" t="str">
        <x:v>true</x:v>
      </x:c>
    </x:row>
    <x:row r="18" ht="15" hidden="0" customHeight="1">
      <x:c r="A18" s="36" t="str">
        <x:v>3</x:v>
      </x:c>
      <x:c r="B18" s="36" t="str">
        <x:v>VII</x:v>
      </x:c>
      <x:c r="C18" s="36" t="str">
        <x:v>4.990000</x:v>
      </x:c>
      <x:c r="D18" s="42" t="str">
        <x:v>-153.898129900577</x:v>
      </x:c>
      <x:c r="E18" s="42" t="str">
        <x:v>-77.446667006181</x:v>
      </x:c>
      <x:c r="F18" s="42" t="str">
        <x:v>76.451462894396</x:v>
      </x:c>
      <x:c r="G18" s="42" t="str">
        <x:v>158.888129900577</x:v>
      </x:c>
      <x:c r="H18" s="42" t="str">
        <x:v>82.436667006181</x:v>
      </x:c>
      <x:c r="I18" s="36" t="str">
        <x:v>0.1</x:v>
      </x:c>
      <x:c r="J18" s="36" t="str">
        <x:v>0.1</x:v>
      </x:c>
      <x:c r="K18" s="36" t="str">
        <x:v>true</x:v>
      </x:c>
    </x:row>
    <x:row r="19" ht="15" hidden="0" customHeight="1">
      <x:c r="A19" s="36" t="str">
        <x:v>3</x:v>
      </x:c>
      <x:c r="B19" s="36" t="str">
        <x:v>VIII</x:v>
      </x:c>
      <x:c r="C19" s="36" t="str">
        <x:v>4.230000</x:v>
      </x:c>
      <x:c r="D19" s="42" t="str">
        <x:v>-38.486266197120</x:v>
      </x:c>
      <x:c r="E19" s="42" t="str">
        <x:v>-19.706722185486</x:v>
      </x:c>
      <x:c r="F19" s="42" t="str">
        <x:v>18.779544011634</x:v>
      </x:c>
      <x:c r="G19" s="42" t="str">
        <x:v>42.716266197120</x:v>
      </x:c>
      <x:c r="H19" s="42" t="str">
        <x:v>23.936722185486</x:v>
      </x:c>
      <x:c r="I19" s="36" t="str">
        <x:v>0.1</x:v>
      </x:c>
      <x:c r="J19" s="36" t="str">
        <x:v>0.1</x:v>
      </x:c>
      <x:c r="K19" s="36" t="str">
        <x:v>true</x:v>
      </x:c>
    </x:row>
    <x:row r="20" ht="15" hidden="0" customHeight="1">
      <x:c r="A20" s="36" t="str">
        <x:v>3</x:v>
      </x:c>
      <x:c r="B20" s="36" t="str">
        <x:v>IX</x:v>
      </x:c>
      <x:c r="C20" s="36" t="str">
        <x:v>0.600000</x:v>
      </x:c>
      <x:c r="D20" s="42" t="str">
        <x:v>-2.461004071112</x:v>
      </x:c>
      <x:c r="E20" s="42" t="str">
        <x:v>-2.774771626398</x:v>
      </x:c>
      <x:c r="F20" s="42" t="str">
        <x:v>-0.313767555286</x:v>
      </x:c>
      <x:c r="G20" s="42" t="str">
        <x:v>3.061004071112</x:v>
      </x:c>
      <x:c r="H20" s="42" t="str">
        <x:v>3.374771626398</x:v>
      </x:c>
      <x:c r="I20" s="36" t="str">
        <x:v>0.1</x:v>
      </x:c>
      <x:c r="J20" s="36" t="str">
        <x:v>0.1</x:v>
      </x:c>
      <x:c r="K20" s="36" t="str">
        <x:v>true</x:v>
      </x:c>
    </x:row>
    <x:row r="21" ht="15" hidden="0" customHeight="1">
      <x:c r="A21" s="36" t="str">
        <x:v>3</x:v>
      </x:c>
      <x:c r="B21" s="36" t="str">
        <x:v>XI</x:v>
      </x:c>
      <x:c r="C21" s="36" t="str">
        <x:v>0.160000</x:v>
      </x:c>
      <x:c r="D21" s="42" t="str">
        <x:v>-62.523175264048</x:v>
      </x:c>
      <x:c r="E21" s="42" t="str">
        <x:v>-31.168750655955</x:v>
      </x:c>
      <x:c r="F21" s="42" t="str">
        <x:v>31.354424608093</x:v>
      </x:c>
      <x:c r="G21" s="42" t="str">
        <x:v>62.683175264048</x:v>
      </x:c>
      <x:c r="H21" s="42" t="str">
        <x:v>31.328750655955</x:v>
      </x:c>
      <x:c r="I21" s="36" t="str">
        <x:v>0.1</x:v>
      </x:c>
      <x:c r="J21" s="36" t="str">
        <x:v>0.1</x:v>
      </x:c>
      <x:c r="K21" s="36" t="str">
        <x:v>true</x:v>
      </x:c>
    </x:row>
    <x:row r="22" ht="15" hidden="0" customHeight="1">
      <x:c r="A22" s="36" t="str">
        <x:v>3</x:v>
      </x:c>
      <x:c r="B22" s="36" t="str">
        <x:v>XIII</x:v>
      </x:c>
      <x:c r="C22" s="36" t="str">
        <x:v>2.120000</x:v>
      </x:c>
      <x:c r="D22" s="42" t="str">
        <x:v>0.926723486584</x:v>
      </x:c>
      <x:c r="E22" s="42" t="str">
        <x:v>0.442953962487</x:v>
      </x:c>
      <x:c r="F22" s="42" t="str">
        <x:v>-0.483769524097</x:v>
      </x:c>
      <x:c r="G22" s="42" t="str">
        <x:v>1.193276513416</x:v>
      </x:c>
      <x:c r="H22" s="42" t="str">
        <x:v>1.677046037513</x:v>
      </x:c>
      <x:c r="I22" s="36" t="str">
        <x:v>0.1</x:v>
      </x:c>
      <x:c r="J22" s="36" t="str">
        <x:v>0.1</x:v>
      </x:c>
      <x:c r="K22" s="36" t="str">
        <x:v>true</x:v>
      </x:c>
    </x:row>
    <x:row r="23" ht="15" hidden="0" customHeight="1">
      <x:c r="A23" s="36" t="str">
        <x:v>3</x:v>
      </x:c>
      <x:c r="B23" s="36" t="str">
        <x:v>XIV</x:v>
      </x:c>
      <x:c r="C23" s="36" t="str">
        <x:v>1.700000</x:v>
      </x:c>
      <x:c r="D23" s="42" t="str">
        <x:v>-83.899718986935</x:v>
      </x:c>
      <x:c r="E23" s="42" t="str">
        <x:v>-41.779791859131</x:v>
      </x:c>
      <x:c r="F23" s="42" t="str">
        <x:v>42.119927127804</x:v>
      </x:c>
      <x:c r="G23" s="42" t="str">
        <x:v>85.599718986935</x:v>
      </x:c>
      <x:c r="H23" s="42" t="str">
        <x:v>43.479791859131</x:v>
      </x:c>
      <x:c r="I23" s="36" t="str">
        <x:v>0.1</x:v>
      </x:c>
      <x:c r="J23" s="36" t="str">
        <x:v>0.1</x:v>
      </x:c>
      <x:c r="K23" s="36" t="str">
        <x:v>true</x:v>
      </x:c>
    </x:row>
    <x:row r="24" ht="15" hidden="0" customHeight="1">
      <x:c r="A24" s="36" t="str">
        <x:v>3</x:v>
      </x:c>
      <x:c r="B24" s="36" t="str">
        <x:v>XV</x:v>
      </x:c>
      <x:c r="C24" s="36" t="str">
        <x:v>1.740000</x:v>
      </x:c>
      <x:c r="D24" s="42" t="str">
        <x:v>-12.545503073689</x:v>
      </x:c>
      <x:c r="E24" s="42" t="str">
        <x:v>-5.934441749535</x:v>
      </x:c>
      <x:c r="F24" s="42" t="str">
        <x:v>6.611061324154</x:v>
      </x:c>
      <x:c r="G24" s="42" t="str">
        <x:v>14.285503073689</x:v>
      </x:c>
      <x:c r="H24" s="42" t="str">
        <x:v>7.674441749535</x:v>
      </x:c>
      <x:c r="I24" s="36" t="str">
        <x:v>0.1</x:v>
      </x:c>
      <x:c r="J24" s="36" t="str">
        <x:v>0.1</x:v>
      </x:c>
      <x:c r="K24" s="36" t="str">
        <x:v>true</x:v>
      </x:c>
    </x:row>
    <x:row r="25" ht="15" hidden="0" customHeight="1">
      <x:c r="A25" s="36" t="str">
        <x:v>3</x:v>
      </x:c>
      <x:c r="B25" s="36" t="str">
        <x:v>XVII</x:v>
      </x:c>
      <x:c r="C25" s="36" t="str">
        <x:v>1.750000</x:v>
      </x:c>
      <x:c r="D25" s="42" t="str">
        <x:v>-10.466391957817</x:v>
      </x:c>
      <x:c r="E25" s="42" t="str">
        <x:v>-4.880577524129</x:v>
      </x:c>
      <x:c r="F25" s="42" t="str">
        <x:v>5.585814433688</x:v>
      </x:c>
      <x:c r="G25" s="42" t="str">
        <x:v>12.216391957817</x:v>
      </x:c>
      <x:c r="H25" s="42" t="str">
        <x:v>6.630577524129</x:v>
      </x:c>
      <x:c r="I25" s="36" t="str">
        <x:v>0.1</x:v>
      </x:c>
      <x:c r="J25" s="36" t="str">
        <x:v>0.1</x:v>
      </x:c>
      <x:c r="K25" s="36" t="str">
        <x:v>true</x:v>
      </x:c>
    </x:row>
  </x:sheetData>
  <x:conditionalFormatting sqref="F2:F25">
    <x:cfRule type="colorScale" priority="1">
      <x:colorScale>
        <x:cfvo type="min"/>
        <x:cfvo type="percentile" val="50"/>
        <x:cfvo type="max"/>
        <x:color rgb="FF5B9BD5"/>
        <x:color rgb="FFFFFFFF"/>
        <x:color rgb="FFED7D31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1.3799991607666" hidden="0" customWidth="1"/>
    <x:col min="4" max="4" width="30.1299991607666" hidden="0" customWidth="1"/>
    <x:col min="5" max="5" width="26.25" hidden="0" customWidth="1"/>
    <x:col min="6" max="6" width="27.6299991607666" hidden="0" customWidth="1"/>
    <x:col min="7" max="7" width="24" hidden="0" customWidth="1"/>
    <x:col min="8" max="8" width="24" hidden="0" customWidth="1"/>
    <x:col min="9" max="9" width="24" hidden="0" customWidth="1"/>
    <x:col min="10" max="10" width="11" hidden="0" customWidth="1"/>
    <x:col min="11" max="11" width="20.1299991607666" hidden="0" customWidth="1"/>
  </x:cols>
  <x:sheetData>
    <x:row r="1" ht="34" hidden="0" customHeight="1">
      <x:c r="A1" s="39" t="str">
        <x:v>mesh_n</x:v>
      </x:c>
      <x:c r="B1" s="39" t="str">
        <x:v>phase</x:v>
      </x:c>
      <x:c r="C1" s="39" t="str">
        <x:v>water_molecules_primitive</x:v>
      </x:c>
      <x:c r="D1" s="39" t="str">
        <x:v>cp2k_native_energy_Ha_per_primitive</x:v>
      </x:c>
      <x:c r="E1" s="39" t="str">
        <x:v>pbc_cli_energy_Ha_per_primitive</x:v>
      </x:c>
      <x:c r="F1" s="39" t="str">
        <x:v>native_minus_cli_Ha_per_primitive</x:v>
      </x:c>
      <x:c r="G1" s="39" t="str">
        <x:v>cp2k_output_sha256</x:v>
      </x:c>
      <x:c r="H1" s="39" t="str">
        <x:v>pbc_cli_json_sha256</x:v>
      </x:c>
      <x:c r="I1" s="39" t="str">
        <x:v>poscar_sha256</x:v>
      </x:c>
      <x:c r="J1" s="39" t="str">
        <x:v>cli_accuracy</x:v>
      </x:c>
      <x:c r="K1" s="39" t="str">
        <x:v>cli_accuracy_qualification</x:v>
      </x:c>
    </x:row>
    <x:row r="2" ht="39.599998474121094" hidden="0" customHeight="1">
      <x:c r="A2" s="36" t="str">
        <x:v>1</x:v>
      </x:c>
      <x:c r="B2" s="36" t="str">
        <x:v>Ih</x:v>
      </x:c>
      <x:c r="C2" s="36" t="str">
        <x:v>12</x:v>
      </x:c>
      <x:c r="D2" s="43" t="str">
        <x:v>-918.879863282961082</x:v>
      </x:c>
      <x:c r="E2" s="43" t="str">
        <x:v>-918.879863295656719</x:v>
      </x:c>
      <x:c r="F2" s="43" t="str">
        <x:v>+1.269563654205e-08</x:v>
      </x:c>
      <x:c r="G2" s="40" t="str">
        <x:v>5901ceb34aefc720eab35178a8a83bd87c5269dbb276e7b50c8901d857fd61b7</x:v>
      </x:c>
      <x:c r="H2" s="40" t="str">
        <x:v>fa9ef3511f2f6bdb1a8e46fcfdd6a5a742cd2b990366c398cf2fed35e6710834</x:v>
      </x:c>
      <x:c r="I2" s="40" t="str">
        <x:v>9aa350879d43ac7445bef16ad619abbdc73a6d8f19a29ff329bf5e6b1113c9a5</x:v>
      </x:c>
      <x:c r="J2" s="36" t="str">
        <x:v>0.1</x:v>
      </x:c>
      <x:c r="K2" s="36" t="str">
        <x:v>PASS</x:v>
      </x:c>
    </x:row>
    <x:row r="3" ht="39.599998474121094" hidden="0" customHeight="1">
      <x:c r="A3" s="36" t="str">
        <x:v>1</x:v>
      </x:c>
      <x:c r="B3" s="36" t="str">
        <x:v>II</x:v>
      </x:c>
      <x:c r="C3" s="36" t="str">
        <x:v>12</x:v>
      </x:c>
      <x:c r="D3" s="43" t="str">
        <x:v>-919.270201933285421</x:v>
      </x:c>
      <x:c r="E3" s="43" t="str">
        <x:v>-919.270201947530381</x:v>
      </x:c>
      <x:c r="F3" s="43" t="str">
        <x:v>+1.424496076652e-08</x:v>
      </x:c>
      <x:c r="G3" s="40" t="str">
        <x:v>10d8c60100404a3bfd4c6e512276964a4f58b9ff1bd52c7c62886751a11ba849</x:v>
      </x:c>
      <x:c r="H3" s="40" t="str">
        <x:v>48baeee11d12665db330918a23a18200fbc601bb9d23817fa7821d0e741f9eb4</x:v>
      </x:c>
      <x:c r="I3" s="40" t="str">
        <x:v>df58c1793e42fde72ca4b180ca8a064e9970b5cafb0375af132555c7ce6014ae</x:v>
      </x:c>
      <x:c r="J3" s="36" t="str">
        <x:v>0.1</x:v>
      </x:c>
      <x:c r="K3" s="36" t="str">
        <x:v>PASS</x:v>
      </x:c>
    </x:row>
    <x:row r="4" ht="39.599998474121094" hidden="0" customHeight="1">
      <x:c r="A4" s="36" t="str">
        <x:v>1</x:v>
      </x:c>
      <x:c r="B4" s="36" t="str">
        <x:v>III</x:v>
      </x:c>
      <x:c r="C4" s="36" t="str">
        <x:v>12</x:v>
      </x:c>
      <x:c r="D4" s="43" t="str">
        <x:v>-919.121119174105729</x:v>
      </x:c>
      <x:c r="E4" s="43" t="str">
        <x:v>-919.121119187621616</x:v>
      </x:c>
      <x:c r="F4" s="43" t="str">
        <x:v>+1.351588707621e-08</x:v>
      </x:c>
      <x:c r="G4" s="40" t="str">
        <x:v>8fba8f2ee63052ed7a9140c09663365a87d1a10019a2f260571c1edf93755cab</x:v>
      </x:c>
      <x:c r="H4" s="40" t="str">
        <x:v>5b43efdd1fc197d00399a58ea8eadddad447e7b0f3a7c1d98c81ebd87d1ef3e6</x:v>
      </x:c>
      <x:c r="I4" s="40" t="str">
        <x:v>e02513be90d29d54c9a3b7b9d550a5b24f68d7cfa3ac49fceb6395c86a1c6352</x:v>
      </x:c>
      <x:c r="J4" s="36" t="str">
        <x:v>0.1</x:v>
      </x:c>
      <x:c r="K4" s="36" t="str">
        <x:v>PASS</x:v>
      </x:c>
    </x:row>
    <x:row r="5" ht="39.599998474121094" hidden="0" customHeight="1">
      <x:c r="A5" s="36" t="str">
        <x:v>1</x:v>
      </x:c>
      <x:c r="B5" s="36" t="str">
        <x:v>IV</x:v>
      </x:c>
      <x:c r="C5" s="36" t="str">
        <x:v>16</x:v>
      </x:c>
      <x:c r="D5" s="43" t="str">
        <x:v>-1224.937515610710079</x:v>
      </x:c>
      <x:c r="E5" s="43" t="str">
        <x:v>-1224.937515628100527</x:v>
      </x:c>
      <x:c r="F5" s="43" t="str">
        <x:v>+1.739044819260e-08</x:v>
      </x:c>
      <x:c r="G5" s="40" t="str">
        <x:v>d2af53f4c0ab5720c37ee9c0054d10723a6b1ad82a81ecaca9c95b706e25192a</x:v>
      </x:c>
      <x:c r="H5" s="40" t="str">
        <x:v>8bc935c1ba3ab144593c64fda1d3295eb76f009db522c563eeabeb54122bff0c</x:v>
      </x:c>
      <x:c r="I5" s="40" t="str">
        <x:v>87e98760385cf3674274809f5c0cf286d82d498ca32ed6ae628ab9788a8cfa4e</x:v>
      </x:c>
      <x:c r="J5" s="36" t="str">
        <x:v>0.1</x:v>
      </x:c>
      <x:c r="K5" s="36" t="str">
        <x:v>PASS</x:v>
      </x:c>
    </x:row>
    <x:row r="6" ht="39.599998474121094" hidden="0" customHeight="1">
      <x:c r="A6" s="36" t="str">
        <x:v>1</x:v>
      </x:c>
      <x:c r="B6" s="36" t="str">
        <x:v>VI</x:v>
      </x:c>
      <x:c r="C6" s="36" t="str">
        <x:v>10</x:v>
      </x:c>
      <x:c r="D6" s="43" t="str">
        <x:v>-766.190091969279592</x:v>
      </x:c>
      <x:c r="E6" s="43" t="str">
        <x:v>-766.190091981830619</x:v>
      </x:c>
      <x:c r="F6" s="43" t="str">
        <x:v>+1.255102688447e-08</x:v>
      </x:c>
      <x:c r="G6" s="40" t="str">
        <x:v>ba41d0b9b8b3e40d6d75a652875ecd57d9151c1ecc1041fb3f468358d63c25e1</x:v>
      </x:c>
      <x:c r="H6" s="40" t="str">
        <x:v>5450ccbace41fae78b6c1833a4d5bea29d83afa85558348e8ad636751e8aaa09</x:v>
      </x:c>
      <x:c r="I6" s="40" t="str">
        <x:v>bdbf876e7a1c12bc1c198fbbee3d47fd501037ed8e81c5458d4d4ba259d30ba2</x:v>
      </x:c>
      <x:c r="J6" s="36" t="str">
        <x:v>0.1</x:v>
      </x:c>
      <x:c r="K6" s="36" t="str">
        <x:v>PASS</x:v>
      </x:c>
    </x:row>
    <x:row r="7" ht="39.599998474121094" hidden="0" customHeight="1">
      <x:c r="A7" s="36" t="str">
        <x:v>1</x:v>
      </x:c>
      <x:c r="B7" s="36" t="str">
        <x:v>VII</x:v>
      </x:c>
      <x:c r="C7" s="36" t="str">
        <x:v>12</x:v>
      </x:c>
      <x:c r="D7" s="43" t="str">
        <x:v>-921.127998036994313</x:v>
      </x:c>
      <x:c r="E7" s="43" t="str">
        <x:v>-921.127998057144168</x:v>
      </x:c>
      <x:c r="F7" s="43" t="str">
        <x:v>+2.014985511778e-08</x:v>
      </x:c>
      <x:c r="G7" s="40" t="str">
        <x:v>2d9112510cae837111b9de8df23c28a93ce658cf796edee0c2b7c91bbe9d39c3</x:v>
      </x:c>
      <x:c r="H7" s="40" t="str">
        <x:v>3ece152c10d88c4152d3d6f6f20f154edc313d6d210b9dc446a03aba4631f6b9</x:v>
      </x:c>
      <x:c r="I7" s="40" t="str">
        <x:v>b45fed8bcdd9050ca302bec8828e752859c700a23f60fcdec9229ad410e889fa</x:v>
      </x:c>
      <x:c r="J7" s="36" t="str">
        <x:v>0.1</x:v>
      </x:c>
      <x:c r="K7" s="36" t="str">
        <x:v>PASS</x:v>
      </x:c>
    </x:row>
    <x:row r="8" ht="39.599998474121094" hidden="0" customHeight="1">
      <x:c r="A8" s="36" t="str">
        <x:v>1</x:v>
      </x:c>
      <x:c r="B8" s="36" t="str">
        <x:v>VIII</x:v>
      </x:c>
      <x:c r="C8" s="36" t="str">
        <x:v>8</x:v>
      </x:c>
      <x:c r="D8" s="43" t="str">
        <x:v>-613.278806186086854</x:v>
      </x:c>
      <x:c r="E8" s="43" t="str">
        <x:v>-613.278806198076722</x:v>
      </x:c>
      <x:c r="F8" s="43" t="str">
        <x:v>+1.198986865347e-08</x:v>
      </x:c>
      <x:c r="G8" s="40" t="str">
        <x:v>30d3c5beb58d93f5aa24ab46c68365bebf7f458532ca6a1e2a28a8f4d89ad7df</x:v>
      </x:c>
      <x:c r="H8" s="40" t="str">
        <x:v>cfc4524d9f44be4d71d782e4e04daa2f2fb8e51062b9faab88a69f30481b263e</x:v>
      </x:c>
      <x:c r="I8" s="40" t="str">
        <x:v>aaec8cece8b97380b3bfedc019f0e268fa1e00f019d7f12de02790879244e453</x:v>
      </x:c>
      <x:c r="J8" s="36" t="str">
        <x:v>0.1</x:v>
      </x:c>
      <x:c r="K8" s="36" t="str">
        <x:v>PASS</x:v>
      </x:c>
    </x:row>
    <x:row r="9" ht="39.599998474121094" hidden="0" customHeight="1">
      <x:c r="A9" s="36" t="str">
        <x:v>1</x:v>
      </x:c>
      <x:c r="B9" s="36" t="str">
        <x:v>IX</x:v>
      </x:c>
      <x:c r="C9" s="36" t="str">
        <x:v>12</x:v>
      </x:c>
      <x:c r="D9" s="43" t="str">
        <x:v>-919.045637223529525</x:v>
      </x:c>
      <x:c r="E9" s="43" t="str">
        <x:v>-919.045637236953326</x:v>
      </x:c>
      <x:c r="F9" s="43" t="str">
        <x:v>+1.342380073766e-08</x:v>
      </x:c>
      <x:c r="G9" s="40" t="str">
        <x:v>f5ee857279a8cf0367225f966344c88ca24741d7d11c3a99a8d638fdd56c1c42</x:v>
      </x:c>
      <x:c r="H9" s="40" t="str">
        <x:v>757b05bfd3b665150eb9eb983251c155d72629cd4da6369c1339b0e181f9bd7e</x:v>
      </x:c>
      <x:c r="I9" s="40" t="str">
        <x:v>1ff6d5c95fcdf733d13ba53e53335411da5f0f16ad0bc9349b9215ae6d08ade3</x:v>
      </x:c>
      <x:c r="J9" s="36" t="str">
        <x:v>0.1</x:v>
      </x:c>
      <x:c r="K9" s="36" t="str">
        <x:v>PASS</x:v>
      </x:c>
    </x:row>
    <x:row r="10" ht="39.599998474121094" hidden="0" customHeight="1">
      <x:c r="A10" s="36" t="str">
        <x:v>1</x:v>
      </x:c>
      <x:c r="B10" s="36" t="str">
        <x:v>XI</x:v>
      </x:c>
      <x:c r="C10" s="36" t="str">
        <x:v>8</x:v>
      </x:c>
      <x:c r="D10" s="43" t="str">
        <x:v>-613.498427919938194</x:v>
      </x:c>
      <x:c r="E10" s="43" t="str">
        <x:v>-613.498427931669653</x:v>
      </x:c>
      <x:c r="F10" s="43" t="str">
        <x:v>+1.173145847133e-08</x:v>
      </x:c>
      <x:c r="G10" s="40" t="str">
        <x:v>e0470f666cfcb8a00a3a0f90eac6d0b7845a6c3fd9ac81ca015d38451600cbc6</x:v>
      </x:c>
      <x:c r="H10" s="40" t="str">
        <x:v>0580febd9afb8ee6466a28c5ad041b9182302681c231c56492d6ded5f6033034</x:v>
      </x:c>
      <x:c r="I10" s="40" t="str">
        <x:v>1d8179172ae08b30df8afcab7afe059423aba0a965490649110cfc45df5d1956</x:v>
      </x:c>
      <x:c r="J10" s="36" t="str">
        <x:v>0.1</x:v>
      </x:c>
      <x:c r="K10" s="36" t="str">
        <x:v>PASS</x:v>
      </x:c>
    </x:row>
    <x:row r="11" ht="39.599998474121094" hidden="0" customHeight="1">
      <x:c r="A11" s="36" t="str">
        <x:v>1</x:v>
      </x:c>
      <x:c r="B11" s="36" t="str">
        <x:v>XIII</x:v>
      </x:c>
      <x:c r="C11" s="36" t="str">
        <x:v>28</x:v>
      </x:c>
      <x:c r="D11" s="43" t="str">
        <x:v>-2143.877423954549158</x:v>
      </x:c>
      <x:c r="E11" s="43" t="str">
        <x:v>-2143.877423985043606</x:v>
      </x:c>
      <x:c r="F11" s="43" t="str">
        <x:v>+3.049444785574e-08</x:v>
      </x:c>
      <x:c r="G11" s="40" t="str">
        <x:v>8c5ec468fe26b756b6d05c6a9d7538fdb0c40dca1e780f9741afa951a3588b60</x:v>
      </x:c>
      <x:c r="H11" s="40" t="str">
        <x:v>ab67a2a0a4de316e4255e26cfc3f780c668194215cf6d18fe482cc6070e5a630</x:v>
      </x:c>
      <x:c r="I11" s="40" t="str">
        <x:v>e312c0cda85b25ceeb4d8e022c270ab642d9b9033ad4309efe1dc9b707695a2c</x:v>
      </x:c>
      <x:c r="J11" s="36" t="str">
        <x:v>0.1</x:v>
      </x:c>
      <x:c r="K11" s="36" t="str">
        <x:v>PASS</x:v>
      </x:c>
    </x:row>
    <x:row r="12" ht="39.599998474121094" hidden="0" customHeight="1">
      <x:c r="A12" s="36" t="str">
        <x:v>1</x:v>
      </x:c>
      <x:c r="B12" s="36" t="str">
        <x:v>XIV</x:v>
      </x:c>
      <x:c r="C12" s="36" t="str">
        <x:v>12</x:v>
      </x:c>
      <x:c r="D12" s="43" t="str">
        <x:v>-920.488501440662958</x:v>
      </x:c>
      <x:c r="E12" s="43" t="str">
        <x:v>-920.488501459184135</x:v>
      </x:c>
      <x:c r="F12" s="43" t="str">
        <x:v>+1.852117748058e-08</x:v>
      </x:c>
      <x:c r="G12" s="40" t="str">
        <x:v>e27ea9dde43368071823146a30cdb0e0e575b7de707b1d906e1515b0af54575e</x:v>
      </x:c>
      <x:c r="H12" s="40" t="str">
        <x:v>0cdd88de7708b09d91204d8791d27b287a07b9be4b0a4a01552f97053377a3e9</x:v>
      </x:c>
      <x:c r="I12" s="40" t="str">
        <x:v>31a08202cdca25ce13ed9fb538367ff86fbe4558821ab34a7149d6e185a03a8c</x:v>
      </x:c>
      <x:c r="J12" s="36" t="str">
        <x:v>0.1</x:v>
      </x:c>
      <x:c r="K12" s="36" t="str">
        <x:v>PASS</x:v>
      </x:c>
    </x:row>
    <x:row r="13" ht="39.599998474121094" hidden="0" customHeight="1">
      <x:c r="A13" s="36" t="str">
        <x:v>1</x:v>
      </x:c>
      <x:c r="B13" s="36" t="str">
        <x:v>XV</x:v>
      </x:c>
      <x:c r="C13" s="36" t="str">
        <x:v>10</x:v>
      </x:c>
      <x:c r="D13" s="43" t="str">
        <x:v>-766.194680626212062</x:v>
      </x:c>
      <x:c r="E13" s="43" t="str">
        <x:v>-766.194680638769114</x:v>
      </x:c>
      <x:c r="F13" s="43" t="str">
        <x:v>+1.255705228687e-08</x:v>
      </x:c>
      <x:c r="G13" s="40" t="str">
        <x:v>23ff3faccc8b4d0d6c01ea7420343f8cd7a55c9ec2046d84d2b9e668d0aa36ca</x:v>
      </x:c>
      <x:c r="H13" s="40" t="str">
        <x:v>8e2dcbb3a88a278cc76462718aa20cbb8006360a7c6b19fc45caf159a58443e0</x:v>
      </x:c>
      <x:c r="I13" s="40" t="str">
        <x:v>8e03a362df5eba3f6a59021584b678bf7963501283e55ed40d83afcbe9c0962d</x:v>
      </x:c>
      <x:c r="J13" s="36" t="str">
        <x:v>0.1</x:v>
      </x:c>
      <x:c r="K13" s="36" t="str">
        <x:v>PASS</x:v>
      </x:c>
    </x:row>
    <x:row r="14" ht="39.599998474121094" hidden="0" customHeight="1">
      <x:c r="A14" s="36" t="str">
        <x:v>1</x:v>
      </x:c>
      <x:c r="B14" s="36" t="str">
        <x:v>XVII</x:v>
      </x:c>
      <x:c r="C14" s="36" t="str">
        <x:v>6</x:v>
      </x:c>
      <x:c r="D14" s="43" t="str">
        <x:v>-459.696995635702137</x:v>
      </x:c>
      <x:c r="E14" s="43" t="str">
        <x:v>-459.696995643020557</x:v>
      </x:c>
      <x:c r="F14" s="43" t="str">
        <x:v>+7.318419648072e-09</x:v>
      </x:c>
      <x:c r="G14" s="40" t="str">
        <x:v>bb8eafc9e2db694cd327c953c52dc26ec00330f04b1985bb6379b0e28cd5d7bc</x:v>
      </x:c>
      <x:c r="H14" s="40" t="str">
        <x:v>b8d316cf3e4c0770a5eb8abb1fac4b413549bba1e461b01193c8f7e58b7b391f</x:v>
      </x:c>
      <x:c r="I14" s="40" t="str">
        <x:v>19f9494c99dffcb5bfcd7d4c7dccf35fd4be806648b426c0f1816a05c7228681</x:v>
      </x:c>
      <x:c r="J14" s="36" t="str">
        <x:v>0.1</x:v>
      </x:c>
      <x:c r="K14" s="36" t="str">
        <x:v>PASS</x:v>
      </x:c>
    </x:row>
    <x:row r="15" ht="39.599998474121094" hidden="0" customHeight="1">
      <x:c r="A15" s="36" t="str">
        <x:v>2</x:v>
      </x:c>
      <x:c r="B15" s="36" t="str">
        <x:v>Ih</x:v>
      </x:c>
      <x:c r="C15" s="36" t="str">
        <x:v>12</x:v>
      </x:c>
      <x:c r="D15" s="43" t="str">
        <x:v>-917.687114386895018</x:v>
      </x:c>
      <x:c r="E15" s="43" t="str">
        <x:v>-917.687114379560057</x:v>
      </x:c>
      <x:c r="F15" s="43" t="str">
        <x:v>-7.334961082961e-09</x:v>
      </x:c>
      <x:c r="G15" s="40" t="str">
        <x:v>350ee1a466a3bade4a9fda704c9717647573abebadc0d95cdcc37e2bde96b2e8</x:v>
      </x:c>
      <x:c r="H15" s="40" t="str">
        <x:v>6fb79084ed2841a6ba5219acb089ccddd93e995c6e202e3849ee7b4148440fbe</x:v>
      </x:c>
      <x:c r="I15" s="40" t="str">
        <x:v>cc6ec119078ecd4769f50893aa7cd6128390cab0eb6f069d58d9972b0a1904b7</x:v>
      </x:c>
      <x:c r="J15" s="36" t="str">
        <x:v>0.1</x:v>
      </x:c>
      <x:c r="K15" s="36" t="str">
        <x:v>PASS</x:v>
      </x:c>
    </x:row>
    <x:row r="16" ht="39.599998474121094" hidden="0" customHeight="1">
      <x:c r="A16" s="36" t="str">
        <x:v>2</x:v>
      </x:c>
      <x:c r="B16" s="36" t="str">
        <x:v>II</x:v>
      </x:c>
      <x:c r="C16" s="36" t="str">
        <x:v>12</x:v>
      </x:c>
      <x:c r="D16" s="43" t="str">
        <x:v>-917.870177901966599</x:v>
      </x:c>
      <x:c r="E16" s="43" t="str">
        <x:v>-917.870177910537336</x:v>
      </x:c>
      <x:c r="F16" s="43" t="str">
        <x:v>+8.570737008995e-09</x:v>
      </x:c>
      <x:c r="G16" s="40" t="str">
        <x:v>cdd02d2d29018c6649a88d174225a851e53443f554161d4a617d63089b4addc4</x:v>
      </x:c>
      <x:c r="H16" s="40" t="str">
        <x:v>f631caf30c2e90261f5edf27721318289a4725011ee5ac698214da4ff826c37e</x:v>
      </x:c>
      <x:c r="I16" s="40" t="str">
        <x:v>bb00e41511d4b1e4cec22e3de12ab94f4556cc0795c62a93f47bcf856947f88a</x:v>
      </x:c>
      <x:c r="J16" s="36" t="str">
        <x:v>0.1</x:v>
      </x:c>
      <x:c r="K16" s="36" t="str">
        <x:v>PASS</x:v>
      </x:c>
    </x:row>
    <x:row r="17" ht="39.599998474121094" hidden="0" customHeight="1">
      <x:c r="A17" s="36" t="str">
        <x:v>2</x:v>
      </x:c>
      <x:c r="B17" s="36" t="str">
        <x:v>III</x:v>
      </x:c>
      <x:c r="C17" s="36" t="str">
        <x:v>12</x:v>
      </x:c>
      <x:c r="D17" s="43" t="str">
        <x:v>-917.786155901661687</x:v>
      </x:c>
      <x:c r="E17" s="43" t="str">
        <x:v>-917.786155909223567</x:v>
      </x:c>
      <x:c r="F17" s="43" t="str">
        <x:v>+7.561880011053e-09</x:v>
      </x:c>
      <x:c r="G17" s="40" t="str">
        <x:v>4d7fdbe5bfcf4c5c282fb03997ca5e8c87faed804b2f06d6ac97079747e39b55</x:v>
      </x:c>
      <x:c r="H17" s="40" t="str">
        <x:v>2c01ccb6c183696de56b5799cf9e8d5dc8252507f0ec12be5a15eadc4fa0e76c</x:v>
      </x:c>
      <x:c r="I17" s="40" t="str">
        <x:v>b4fb7f7d4314640b30726af13be2ca0345cc1540c21136a11c4f3ddd5c476952</x:v>
      </x:c>
      <x:c r="J17" s="36" t="str">
        <x:v>0.1</x:v>
      </x:c>
      <x:c r="K17" s="36" t="str">
        <x:v>PASS</x:v>
      </x:c>
    </x:row>
    <x:row r="18" ht="39.599998474121094" hidden="0" customHeight="1">
      <x:c r="A18" s="36" t="str">
        <x:v>2</x:v>
      </x:c>
      <x:c r="B18" s="36" t="str">
        <x:v>IV</x:v>
      </x:c>
      <x:c r="C18" s="36" t="str">
        <x:v>16</x:v>
      </x:c>
      <x:c r="D18" s="43" t="str">
        <x:v>-1223.491855006164542</x:v>
      </x:c>
      <x:c r="E18" s="43" t="str">
        <x:v>-1223.491855013792019</x:v>
      </x:c>
      <x:c r="F18" s="43" t="str">
        <x:v>+7.627477316419e-09</x:v>
      </x:c>
      <x:c r="G18" s="40" t="str">
        <x:v>e802be5278653f3c1fdc63c9dc55fe907e2dec590cf2dd38b379a81e2cb342d6</x:v>
      </x:c>
      <x:c r="H18" s="40" t="str">
        <x:v>393634ebefec814a7987349182a99eaa04da3d19ee146e9fb4c611894e89ba89</x:v>
      </x:c>
      <x:c r="I18" s="40" t="str">
        <x:v>8ee3eca6ffdcce22ebba5414c22666ba6bb796a17c97016cb36339ebf1f7144e</x:v>
      </x:c>
      <x:c r="J18" s="36" t="str">
        <x:v>0.1</x:v>
      </x:c>
      <x:c r="K18" s="36" t="str">
        <x:v>PASS</x:v>
      </x:c>
    </x:row>
    <x:row r="19" ht="39.599998474121094" hidden="0" customHeight="1">
      <x:c r="A19" s="36" t="str">
        <x:v>2</x:v>
      </x:c>
      <x:c r="B19" s="36" t="str">
        <x:v>VI</x:v>
      </x:c>
      <x:c r="C19" s="36" t="str">
        <x:v>10</x:v>
      </x:c>
      <x:c r="D19" s="43" t="str">
        <x:v>-764.957762390368771</x:v>
      </x:c>
      <x:c r="E19" s="43" t="str">
        <x:v>-764.957762397942361</x:v>
      </x:c>
      <x:c r="F19" s="43" t="str">
        <x:v>+7.573589755339e-09</x:v>
      </x:c>
      <x:c r="G19" s="40" t="str">
        <x:v>a879cc9f136ec84f471cf92fc8b34de74b27cff979647cb2df06677a494d2066</x:v>
      </x:c>
      <x:c r="H19" s="40" t="str">
        <x:v>6d5d017882704425dcb6f916855fd88af986bc765a86578643154dc7218f2eef</x:v>
      </x:c>
      <x:c r="I19" s="40" t="str">
        <x:v>d99062f4ddc7012617728ead977427ccfe556383ed12f9d9fa619662e9f1288b</x:v>
      </x:c>
      <x:c r="J19" s="36" t="str">
        <x:v>0.1</x:v>
      </x:c>
      <x:c r="K19" s="36" t="str">
        <x:v>PASS</x:v>
      </x:c>
    </x:row>
    <x:row r="20" ht="39.599998474121094" hidden="0" customHeight="1">
      <x:c r="A20" s="36" t="str">
        <x:v>2</x:v>
      </x:c>
      <x:c r="B20" s="36" t="str">
        <x:v>VII</x:v>
      </x:c>
      <x:c r="C20" s="36" t="str">
        <x:v>12</x:v>
      </x:c>
      <x:c r="D20" s="43" t="str">
        <x:v>-919.058168742293333</x:v>
      </x:c>
      <x:c r="E20" s="43" t="str">
        <x:v>-919.058168637085032</x:v>
      </x:c>
      <x:c r="F20" s="43" t="str">
        <x:v>-1.052083007380e-07</x:v>
      </x:c>
      <x:c r="G20" s="40" t="str">
        <x:v>10813dda0d7a05cc65b16f1a5cd5ad15b9bda19e345726a089cf92cd8934f7a6</x:v>
      </x:c>
      <x:c r="H20" s="40" t="str">
        <x:v>4a39f32c864856c1bd7daead8878d807b704c681b4b722cdc0c477986d680084</x:v>
      </x:c>
      <x:c r="I20" s="40" t="str">
        <x:v>4de281e3ab3632f443b22f99162e80a3a327c0b8124489c015d4b68fa62d1d91</x:v>
      </x:c>
      <x:c r="J20" s="36" t="str">
        <x:v>0.1</x:v>
      </x:c>
      <x:c r="K20" s="36" t="str">
        <x:v>PASS</x:v>
      </x:c>
    </x:row>
    <x:row r="21" ht="39.599998474121094" hidden="0" customHeight="1">
      <x:c r="A21" s="36" t="str">
        <x:v>2</x:v>
      </x:c>
      <x:c r="B21" s="36" t="str">
        <x:v>VIII</x:v>
      </x:c>
      <x:c r="C21" s="36" t="str">
        <x:v>8</x:v>
      </x:c>
      <x:c r="D21" s="43" t="str">
        <x:v>-612.161605395580182</x:v>
      </x:c>
      <x:c r="E21" s="43" t="str">
        <x:v>-612.161605403462545</x:v>
      </x:c>
      <x:c r="F21" s="43" t="str">
        <x:v>+7.882363206591e-09</x:v>
      </x:c>
      <x:c r="G21" s="40" t="str">
        <x:v>4e0c13484cfe995a25dd10e17719ad2f8d05c58786be90d29d65d0274976227b</x:v>
      </x:c>
      <x:c r="H21" s="40" t="str">
        <x:v>2b287200e00823df5c9cbcb59f31438efe550ecc333922956b9ad8e4c3d86df6</x:v>
      </x:c>
      <x:c r="I21" s="40" t="str">
        <x:v>665dd43c54024db79d58c834bb4aa59727e405c1139b7e575dc73054d816a3d3</x:v>
      </x:c>
      <x:c r="J21" s="36" t="str">
        <x:v>0.1</x:v>
      </x:c>
      <x:c r="K21" s="36" t="str">
        <x:v>PASS</x:v>
      </x:c>
    </x:row>
    <x:row r="22" ht="39.599998474121094" hidden="0" customHeight="1">
      <x:c r="A22" s="36" t="str">
        <x:v>2</x:v>
      </x:c>
      <x:c r="B22" s="36" t="str">
        <x:v>IX</x:v>
      </x:c>
      <x:c r="C22" s="36" t="str">
        <x:v>12</x:v>
      </x:c>
      <x:c r="D22" s="43" t="str">
        <x:v>-917.754809069559201</x:v>
      </x:c>
      <x:c r="E22" s="43" t="str">
        <x:v>-917.754809075274807</x:v>
      </x:c>
      <x:c r="F22" s="43" t="str">
        <x:v>+5.715605766454e-09</x:v>
      </x:c>
      <x:c r="G22" s="40" t="str">
        <x:v>b7dfb0117634bc7f4ddea401e02e3985f7295298aff0f8e30eb59edbed3100b0</x:v>
      </x:c>
      <x:c r="H22" s="40" t="str">
        <x:v>12a636f38cbe4891fa7e9c86aeeca8d1aeec5394009dbc0628b81de1fec644ff</x:v>
      </x:c>
      <x:c r="I22" s="40" t="str">
        <x:v>ec345cbd2b7c34ea3f8f9f891c8486e4ac07e77e63517cb17b7ea17ca27df959</x:v>
      </x:c>
      <x:c r="J22" s="36" t="str">
        <x:v>0.1</x:v>
      </x:c>
      <x:c r="K22" s="36" t="str">
        <x:v>PASS</x:v>
      </x:c>
    </x:row>
    <x:row r="23" ht="39.599998474121094" hidden="0" customHeight="1">
      <x:c r="A23" s="36" t="str">
        <x:v>2</x:v>
      </x:c>
      <x:c r="B23" s="36" t="str">
        <x:v>XI</x:v>
      </x:c>
      <x:c r="C23" s="36" t="str">
        <x:v>8</x:v>
      </x:c>
      <x:c r="D23" s="43" t="str">
        <x:v>-612.294892593739633</x:v>
      </x:c>
      <x:c r="E23" s="43" t="str">
        <x:v>-612.294892601289803</x:v>
      </x:c>
      <x:c r="F23" s="43" t="str">
        <x:v>+7.550170266768e-09</x:v>
      </x:c>
      <x:c r="G23" s="40" t="str">
        <x:v>3c1b26ee67c9fd1f0b9c631a719c0bd4de137f5807c54b47b380bda58c44170b</x:v>
      </x:c>
      <x:c r="H23" s="40" t="str">
        <x:v>e730128c55b35739e41df448f023fe14f1c3b1f46dbc2d98919fce0f6cfe91e0</x:v>
      </x:c>
      <x:c r="I23" s="40" t="str">
        <x:v>89ce70f57ad4a49e4dcdf3d151a2981304d866190279ec84d516d9001890f737</x:v>
      </x:c>
      <x:c r="J23" s="36" t="str">
        <x:v>0.1</x:v>
      </x:c>
      <x:c r="K23" s="36" t="str">
        <x:v>PASS</x:v>
      </x:c>
    </x:row>
    <x:row r="24" ht="39.599998474121094" hidden="0" customHeight="1">
      <x:c r="A24" s="36" t="str">
        <x:v>2</x:v>
      </x:c>
      <x:c r="B24" s="36" t="str">
        <x:v>XIII</x:v>
      </x:c>
      <x:c r="C24" s="36" t="str">
        <x:v>28</x:v>
      </x:c>
      <x:c r="D24" s="43" t="str">
        <x:v>-2141.196642339084065</x:v>
      </x:c>
      <x:c r="E24" s="43" t="str">
        <x:v>-2141.196642354066626</x:v>
      </x:c>
      <x:c r="F24" s="43" t="str">
        <x:v>+1.498256096966e-08</x:v>
      </x:c>
      <x:c r="G24" s="40" t="str">
        <x:v>7799d1ffc1515cf555dac51acc1ff674a7ca40dcd54e3f9ba4636646144ada6a</x:v>
      </x:c>
      <x:c r="H24" s="40" t="str">
        <x:v>6c09805c5154a80fcd4050f09f4cc2f153c68c146556d3ae8a90cadea0423ee1</x:v>
      </x:c>
      <x:c r="I24" s="40" t="str">
        <x:v>082bd77882b5a9bf57f9ca50ee6a4e5049b969c8b59c6eef2c593517ed8e0d23</x:v>
      </x:c>
      <x:c r="J24" s="36" t="str">
        <x:v>0.1</x:v>
      </x:c>
      <x:c r="K24" s="36" t="str">
        <x:v>PASS</x:v>
      </x:c>
    </x:row>
    <x:row r="25" ht="39.599998474121094" hidden="0" customHeight="1">
      <x:c r="A25" s="36" t="str">
        <x:v>2</x:v>
      </x:c>
      <x:c r="B25" s="36" t="str">
        <x:v>XIV</x:v>
      </x:c>
      <x:c r="C25" s="36" t="str">
        <x:v>12</x:v>
      </x:c>
      <x:c r="D25" s="43" t="str">
        <x:v>-918.599430051627451</x:v>
      </x:c>
      <x:c r="E25" s="43" t="str">
        <x:v>-918.599430064347075</x:v>
      </x:c>
      <x:c r="F25" s="43" t="str">
        <x:v>+1.271962446481e-08</x:v>
      </x:c>
      <x:c r="G25" s="40" t="str">
        <x:v>2ae8e2472da0f0307062b834abaa11ad042a344e73b9faf86cd97cd368b125a0</x:v>
      </x:c>
      <x:c r="H25" s="40" t="str">
        <x:v>fe2f6047e1d51dc7dcbb1d5940ba243098cf6e60284774158b66173dd78b4df8</x:v>
      </x:c>
      <x:c r="I25" s="40" t="str">
        <x:v>2e836349250b157878fd3f1683d921713e8f3757a542b6c0db439e45e39c7623</x:v>
      </x:c>
      <x:c r="J25" s="36" t="str">
        <x:v>0.1</x:v>
      </x:c>
      <x:c r="K25" s="36" t="str">
        <x:v>PASS</x:v>
      </x:c>
    </x:row>
    <x:row r="26" ht="39.599998474121094" hidden="0" customHeight="1">
      <x:c r="A26" s="36" t="str">
        <x:v>2</x:v>
      </x:c>
      <x:c r="B26" s="36" t="str">
        <x:v>XV</x:v>
      </x:c>
      <x:c r="C26" s="36" t="str">
        <x:v>10</x:v>
      </x:c>
      <x:c r="D26" s="43" t="str">
        <x:v>-764.960345852940122</x:v>
      </x:c>
      <x:c r="E26" s="43" t="str">
        <x:v>-764.960345860499729</x:v>
      </x:c>
      <x:c r="F26" s="43" t="str">
        <x:v>+7.559606274299e-09</x:v>
      </x:c>
      <x:c r="G26" s="40" t="str">
        <x:v>0d61ce720a7248eb7259af941ee95da002af98673c5810a456e913707e47e413</x:v>
      </x:c>
      <x:c r="H26" s="40" t="str">
        <x:v>dfa3b66fea06d3efb0c3f9992e367343778e10f60e8463b99aad0325837ff771</x:v>
      </x:c>
      <x:c r="I26" s="40" t="str">
        <x:v>f69c74d09a7612876d5c85043287a99221062a22e8467f5e01bb511d4ac4ce31</x:v>
      </x:c>
      <x:c r="J26" s="36" t="str">
        <x:v>0.1</x:v>
      </x:c>
      <x:c r="K26" s="36" t="str">
        <x:v>PASS</x:v>
      </x:c>
    </x:row>
    <x:row r="27" ht="39.599998474121094" hidden="0" customHeight="1">
      <x:c r="A27" s="36" t="str">
        <x:v>2</x:v>
      </x:c>
      <x:c r="B27" s="36" t="str">
        <x:v>XVII</x:v>
      </x:c>
      <x:c r="C27" s="36" t="str">
        <x:v>6</x:v>
      </x:c>
      <x:c r="D27" s="43" t="str">
        <x:v>-458.961383263706466</x:v>
      </x:c>
      <x:c r="E27" s="43" t="str">
        <x:v>-458.961383268005250</x:v>
      </x:c>
      <x:c r="F27" s="43" t="str">
        <x:v>+4.298783551349e-09</x:v>
      </x:c>
      <x:c r="G27" s="40" t="str">
        <x:v>d21ea1a35f1fbb0ef322bef8637fe2d271e236ce26f764baf421c20b83114a80</x:v>
      </x:c>
      <x:c r="H27" s="40" t="str">
        <x:v>00e75e8d834afd4f28acdc4194e26dbb69869893051539cf9756ac11e9747a79</x:v>
      </x:c>
      <x:c r="I27" s="40" t="str">
        <x:v>17446bfc858d189bb9e48745c7e14b470ba2b72bc56e7db50afa2864a101b8c7</x:v>
      </x:c>
      <x:c r="J27" s="36" t="str">
        <x:v>0.1</x:v>
      </x:c>
      <x:c r="K27" s="36" t="str">
        <x:v>PASS</x:v>
      </x:c>
    </x:row>
    <x:row r="28" ht="39.599998474121094" hidden="0" customHeight="1">
      <x:c r="A28" s="36" t="str">
        <x:v>3</x:v>
      </x:c>
      <x:c r="B28" s="36" t="str">
        <x:v>Ih</x:v>
      </x:c>
      <x:c r="C28" s="36" t="str">
        <x:v>12</x:v>
      </x:c>
      <x:c r="D28" s="43" t="str">
        <x:v>-917.495889060008153</x:v>
      </x:c>
      <x:c r="E28" s="43" t="str">
        <x:v>-917.495889035489199</x:v>
      </x:c>
      <x:c r="F28" s="43" t="str">
        <x:v>-2.451895397826e-08</x:v>
      </x:c>
      <x:c r="G28" s="40" t="str">
        <x:v>8f58030f9dff4b9b322c8c0292bbae34df1591f1b05faa6e418c52e8fde2aafc</x:v>
      </x:c>
      <x:c r="H28" s="40" t="str">
        <x:v>0cb9af51b5ed47c5381fc48ae10a3fac6bd2d36282bc3d70c9e15f13fc60fea0</x:v>
      </x:c>
      <x:c r="I28" s="40" t="str">
        <x:v>52d9ccb934ce1a26aa72ce30d1de09528b15eaed4492c6ac319adddce0e6a7e5</x:v>
      </x:c>
      <x:c r="J28" s="36" t="str">
        <x:v>0.1</x:v>
      </x:c>
      <x:c r="K28" s="36" t="str">
        <x:v>PASS</x:v>
      </x:c>
    </x:row>
    <x:row r="29" ht="39.599998474121094" hidden="0" customHeight="1">
      <x:c r="A29" s="36" t="str">
        <x:v>3</x:v>
      </x:c>
      <x:c r="B29" s="36" t="str">
        <x:v>II</x:v>
      </x:c>
      <x:c r="C29" s="36" t="str">
        <x:v>12</x:v>
      </x:c>
      <x:c r="D29" s="43" t="str">
        <x:v>-917.537262315681460</x:v>
      </x:c>
      <x:c r="E29" s="43" t="str">
        <x:v>-917.537262319641741</x:v>
      </x:c>
      <x:c r="F29" s="43" t="str">
        <x:v>+3.960280992032e-09</x:v>
      </x:c>
      <x:c r="G29" s="40" t="str">
        <x:v>55d6e7039404df06bebf7cdee59f05bf2a2cfa40992592a6e7e0454e54b7185d</x:v>
      </x:c>
      <x:c r="H29" s="40" t="str">
        <x:v>7364dc369bb8f519430220749ec21f7ee545ba8fd38d4fff5c703c9ccc9ddeb6</x:v>
      </x:c>
      <x:c r="I29" s="40" t="str">
        <x:v>9c6fc3c088893d7413933ffd4ae6adeeb30bac20c9275e3ca73ccfe590039ff0</x:v>
      </x:c>
      <x:c r="J29" s="36" t="str">
        <x:v>0.1</x:v>
      </x:c>
      <x:c r="K29" s="36" t="str">
        <x:v>PASS</x:v>
      </x:c>
    </x:row>
    <x:row r="30" ht="39.599998474121094" hidden="0" customHeight="1">
      <x:c r="A30" s="36" t="str">
        <x:v>3</x:v>
      </x:c>
      <x:c r="B30" s="36" t="str">
        <x:v>III</x:v>
      </x:c>
      <x:c r="C30" s="36" t="str">
        <x:v>12</x:v>
      </x:c>
      <x:c r="D30" s="43" t="str">
        <x:v>-917.506399566835626</x:v>
      </x:c>
      <x:c r="E30" s="43" t="str">
        <x:v>-917.506399570003168</x:v>
      </x:c>
      <x:c r="F30" s="43" t="str">
        <x:v>+3.167542672600e-09</x:v>
      </x:c>
      <x:c r="G30" s="40" t="str">
        <x:v>6b2350b4f2de39c36418b0e7f824a924daeb04b3a88160f55c402af5dffed0c2</x:v>
      </x:c>
      <x:c r="H30" s="40" t="str">
        <x:v>b88af0ac39c63548faf98800ef56da13ef37b59da4ee8fae70ddd8df4c1d1c47</x:v>
      </x:c>
      <x:c r="I30" s="40" t="str">
        <x:v>fa83e26d382fbc5c697ca883a038eb952a382445c5fbf7840c571aa2d827040c</x:v>
      </x:c>
      <x:c r="J30" s="36" t="str">
        <x:v>0.1</x:v>
      </x:c>
      <x:c r="K30" s="36" t="str">
        <x:v>PASS</x:v>
      </x:c>
    </x:row>
    <x:row r="31" ht="39.599998474121094" hidden="0" customHeight="1">
      <x:c r="A31" s="36" t="str">
        <x:v>3</x:v>
      </x:c>
      <x:c r="B31" s="36" t="str">
        <x:v>IV</x:v>
      </x:c>
      <x:c r="C31" s="36" t="str">
        <x:v>16</x:v>
      </x:c>
      <x:c r="D31" s="43" t="str">
        <x:v>-1223.310152766876172</x:v>
      </x:c>
      <x:c r="E31" s="43" t="str">
        <x:v>-1223.310152770477544</x:v>
      </x:c>
      <x:c r="F31" s="43" t="str">
        <x:v>+3.601371645345e-09</x:v>
      </x:c>
      <x:c r="G31" s="40" t="str">
        <x:v>13c036b47d5b3f5eaa160d4ffc8f919460244c2429a8b08458bed35f32641abd</x:v>
      </x:c>
      <x:c r="H31" s="40" t="str">
        <x:v>bb258f3be4bf3077bd5252f860a060e653aa301e8cf670da96069796350abf00</x:v>
      </x:c>
      <x:c r="I31" s="40" t="str">
        <x:v>d06ee49a6566090f6e29157ed3908f9a354f6fd9ad7870ccae7b1d1f4e86a9cd</x:v>
      </x:c>
      <x:c r="J31" s="36" t="str">
        <x:v>0.1</x:v>
      </x:c>
      <x:c r="K31" s="36" t="str">
        <x:v>PASS</x:v>
      </x:c>
    </x:row>
    <x:row r="32" ht="39.599998474121094" hidden="0" customHeight="1">
      <x:c r="A32" s="36" t="str">
        <x:v>3</x:v>
      </x:c>
      <x:c r="B32" s="36" t="str">
        <x:v>VI</x:v>
      </x:c>
      <x:c r="C32" s="36" t="str">
        <x:v>10</x:v>
      </x:c>
      <x:c r="D32" s="43" t="str">
        <x:v>-764.626835855699483</x:v>
      </x:c>
      <x:c r="E32" s="43" t="str">
        <x:v>-764.626835859397943</x:v>
      </x:c>
      <x:c r="F32" s="43" t="str">
        <x:v>+3.698460204760e-09</x:v>
      </x:c>
      <x:c r="G32" s="40" t="str">
        <x:v>2342d48c686022639dc66b9e50f1c2e04bc8039692bd632f2505d6944d996223</x:v>
      </x:c>
      <x:c r="H32" s="40" t="str">
        <x:v>7ffb9a40799e8cbc1464a114876be57f85ca7d09a88c5bd4b68e02842264adb9</x:v>
      </x:c>
      <x:c r="I32" s="40" t="str">
        <x:v>f246b72b2f07c32a58fe4f43e4d6d29b0c4d9c1ae22ba3426e8b12ae418a1533</x:v>
      </x:c>
      <x:c r="J32" s="36" t="str">
        <x:v>0.1</x:v>
      </x:c>
      <x:c r="K32" s="36" t="str">
        <x:v>PASS</x:v>
      </x:c>
    </x:row>
    <x:row r="33" ht="39.599998474121094" hidden="0" customHeight="1">
      <x:c r="A33" s="36" t="str">
        <x:v>3</x:v>
      </x:c>
      <x:c r="B33" s="36" t="str">
        <x:v>VII</x:v>
      </x:c>
      <x:c r="C33" s="36" t="str">
        <x:v>12</x:v>
      </x:c>
      <x:c r="D33" s="43" t="str">
        <x:v>-918.199289561648811</x:v>
      </x:c>
      <x:c r="E33" s="43" t="str">
        <x:v>-918.199289459178658</x:v>
      </x:c>
      <x:c r="F33" s="43" t="str">
        <x:v>-1.024701532515e-07</x:v>
      </x:c>
      <x:c r="G33" s="40" t="str">
        <x:v>ad95ad107b2b48f8ba92fbf942fde6954b0a6ff967fb17555c4877f92b71e7ac</x:v>
      </x:c>
      <x:c r="H33" s="40" t="str">
        <x:v>38d49b351ff74d0cd3f8496bc834f6d9fd4552a062d548fc35c06aa82dc56213</x:v>
      </x:c>
      <x:c r="I33" s="40" t="str">
        <x:v>9ba4fac666046634f6dc5ff0d3f709971c0f66fe1cd0b4251e599ea6d9f82fb9</x:v>
      </x:c>
      <x:c r="J33" s="36" t="str">
        <x:v>0.1</x:v>
      </x:c>
      <x:c r="K33" s="36" t="str">
        <x:v>PASS</x:v>
      </x:c>
    </x:row>
    <x:row r="34" ht="39.599998474121094" hidden="0" customHeight="1">
      <x:c r="A34" s="36" t="str">
        <x:v>3</x:v>
      </x:c>
      <x:c r="B34" s="36" t="str">
        <x:v>VIII</x:v>
      </x:c>
      <x:c r="C34" s="36" t="str">
        <x:v>8</x:v>
      </x:c>
      <x:c r="D34" s="43" t="str">
        <x:v>-611.781195175949392</x:v>
      </x:c>
      <x:c r="E34" s="43" t="str">
        <x:v>-611.781195180717077</x:v>
      </x:c>
      <x:c r="F34" s="43" t="str">
        <x:v>+4.767684913531e-09</x:v>
      </x:c>
      <x:c r="G34" s="40" t="str">
        <x:v>555b46201db7dcefcedd32bfd2976f1229fd1035761fc68326faf89654fdd9d1</x:v>
      </x:c>
      <x:c r="H34" s="40" t="str">
        <x:v>3e76cb51246f04e28acda0a9a06a2ff8aaf0a83afe0cce59c6d3cc2134cd5a66</x:v>
      </x:c>
      <x:c r="I34" s="40" t="str">
        <x:v>9bd1a82532940e5f98fb6e04cc291787e0ea73d9ab34ae89de69867e9bf21398</x:v>
      </x:c>
      <x:c r="J34" s="36" t="str">
        <x:v>0.1</x:v>
      </x:c>
      <x:c r="K34" s="36" t="str">
        <x:v>PASS</x:v>
      </x:c>
    </x:row>
    <x:row r="35" ht="39.599998474121094" hidden="0" customHeight="1">
      <x:c r="A35" s="36" t="str">
        <x:v>3</x:v>
      </x:c>
      <x:c r="B35" s="36" t="str">
        <x:v>IX</x:v>
      </x:c>
      <x:c r="C35" s="36" t="str">
        <x:v>12</x:v>
      </x:c>
      <x:c r="D35" s="43" t="str">
        <x:v>-917.507137198977944</x:v>
      </x:c>
      <x:c r="E35" s="43" t="str">
        <x:v>-917.507137198851751</x:v>
      </x:c>
      <x:c r="F35" s="43" t="str">
        <x:v>-1.261923898710e-10</x:v>
      </x:c>
      <x:c r="G35" s="40" t="str">
        <x:v>9e9109fd0b0674ee769d4675177cba54e344859cd856aca3797b38150de9968f</x:v>
      </x:c>
      <x:c r="H35" s="40" t="str">
        <x:v>3d71dea964c81d4310cce87d3ddb54c50c531c0df3fe9f4827bcc9363c368794</x:v>
      </x:c>
      <x:c r="I35" s="40" t="str">
        <x:v>d5cc4a105a400b120e3af1c327b8097136add12dbcdba2b46c42f3f4655d5079</x:v>
      </x:c>
      <x:c r="J35" s="36" t="str">
        <x:v>0.1</x:v>
      </x:c>
      <x:c r="K35" s="36" t="str">
        <x:v>PASS</x:v>
      </x:c>
    </x:row>
    <x:row r="36" ht="39.599998474121094" hidden="0" customHeight="1">
      <x:c r="A36" s="36" t="str">
        <x:v>3</x:v>
      </x:c>
      <x:c r="B36" s="36" t="str">
        <x:v>XI</x:v>
      </x:c>
      <x:c r="C36" s="36" t="str">
        <x:v>8</x:v>
      </x:c>
      <x:c r="D36" s="43" t="str">
        <x:v>-611.854436577004890</x:v>
      </x:c>
      <x:c r="E36" s="43" t="str">
        <x:v>-611.854436581951290</x:v>
      </x:c>
      <x:c r="F36" s="43" t="str">
        <x:v>+4.946400622430e-09</x:v>
      </x:c>
      <x:c r="G36" s="40" t="str">
        <x:v>5504d25c4c17a0f32bbc5b18a49db2b3cc60cd843826c6434dae5be6afb8a1e4</x:v>
      </x:c>
      <x:c r="H36" s="40" t="str">
        <x:v>7e47189916cfc7bc3ef06713b22e52675f517b4d9dcd599ad42bb8ce6e71ad44</x:v>
      </x:c>
      <x:c r="I36" s="40" t="str">
        <x:v>4eb797f6ff26acbc641046d0acb104a1b9ddc303fb8cc17efe74be2855e4fa84</x:v>
      </x:c>
      <x:c r="J36" s="36" t="str">
        <x:v>0.1</x:v>
      </x:c>
      <x:c r="K36" s="36" t="str">
        <x:v>PASS</x:v>
      </x:c>
    </x:row>
    <x:row r="37" ht="39.599998474121094" hidden="0" customHeight="1">
      <x:c r="A37" s="36" t="str">
        <x:v>3</x:v>
      </x:c>
      <x:c r="B37" s="36" t="str">
        <x:v>XIII</x:v>
      </x:c>
      <x:c r="C37" s="36" t="str">
        <x:v>28</x:v>
      </x:c>
      <x:c r="D37" s="43" t="str">
        <x:v>-2140.813857906366593</x:v>
      </x:c>
      <x:c r="E37" s="43" t="str">
        <x:v>-2140.813857913435641</x:v>
      </x:c>
      <x:c r="F37" s="43" t="str">
        <x:v>+7.069047569530e-09</x:v>
      </x:c>
      <x:c r="G37" s="40" t="str">
        <x:v>c4040bf78e1bc4019549fc4aed1e0246c0a70527071cc15791dbb3be7bfbb8a1</x:v>
      </x:c>
      <x:c r="H37" s="40" t="str">
        <x:v>8edac10f3ab625fd68ace9a8a582ef29cd6d446d74b4904df1a442618106d8d3</x:v>
      </x:c>
      <x:c r="I37" s="40" t="str">
        <x:v>0e409d26837786dcb82f03146308379aedc20f065866ff6a9234902cab6d8b95</x:v>
      </x:c>
      <x:c r="J37" s="36" t="str">
        <x:v>0.1</x:v>
      </x:c>
      <x:c r="K37" s="36" t="str">
        <x:v>PASS</x:v>
      </x:c>
    </x:row>
    <x:row r="38" ht="39.599998474121094" hidden="0" customHeight="1">
      <x:c r="A38" s="36" t="str">
        <x:v>3</x:v>
      </x:c>
      <x:c r="B38" s="36" t="str">
        <x:v>XIV</x:v>
      </x:c>
      <x:c r="C38" s="36" t="str">
        <x:v>12</x:v>
      </x:c>
      <x:c r="D38" s="43" t="str">
        <x:v>-917.879357610311786</x:v>
      </x:c>
      <x:c r="E38" s="43" t="str">
        <x:v>-917.879357619031794</x:v>
      </x:c>
      <x:c r="F38" s="43" t="str">
        <x:v>+8.720007826923e-09</x:v>
      </x:c>
      <x:c r="G38" s="40" t="str">
        <x:v>69cf99cb464b9d44e00df6694c6792befb303046d4f4ef806d717d74a793472a</x:v>
      </x:c>
      <x:c r="H38" s="40" t="str">
        <x:v>ec3b6089243c9361542a520230273567b329ea6778b8dbf9df4cbabdd0a50073</x:v>
      </x:c>
      <x:c r="I38" s="40" t="str">
        <x:v>9e516470403411559b38dc235cfb868da04584031b43483c7fba4c53cb2a9fda</x:v>
      </x:c>
      <x:c r="J38" s="36" t="str">
        <x:v>0.1</x:v>
      </x:c>
      <x:c r="K38" s="36" t="str">
        <x:v>PASS</x:v>
      </x:c>
    </x:row>
    <x:row r="39" ht="39.599998474121094" hidden="0" customHeight="1">
      <x:c r="A39" s="36" t="str">
        <x:v>3</x:v>
      </x:c>
      <x:c r="B39" s="36" t="str">
        <x:v>XV</x:v>
      </x:c>
      <x:c r="C39" s="36" t="str">
        <x:v>10</x:v>
      </x:c>
      <x:c r="D39" s="43" t="str">
        <x:v>-764.627690823530770</x:v>
      </x:c>
      <x:c r="E39" s="43" t="str">
        <x:v>-764.627690827218089</x:v>
      </x:c>
      <x:c r="F39" s="43" t="str">
        <x:v>+3.687318894663e-09</x:v>
      </x:c>
      <x:c r="G39" s="40" t="str">
        <x:v>7662f6ab8079ee5ddce1c03c8781de34c5a3f9972e56912787a5880ae00b3271</x:v>
      </x:c>
      <x:c r="H39" s="40" t="str">
        <x:v>b04db5c795a2b3cc66ec1b5f4dc11fcac808b4f1d8b48949317ef6c9c7e1de9b</x:v>
      </x:c>
      <x:c r="I39" s="40" t="str">
        <x:v>169b3dcac916bd215ea344a4580ac32e816ccaf92256235abc91265c56878414</x:v>
      </x:c>
      <x:c r="J39" s="36" t="str">
        <x:v>0.1</x:v>
      </x:c>
      <x:c r="K39" s="36" t="str">
        <x:v>PASS</x:v>
      </x:c>
    </x:row>
    <x:row r="40" ht="39.599998474121094" hidden="0" customHeight="1">
      <x:c r="A40" s="36" t="str">
        <x:v>3</x:v>
      </x:c>
      <x:c r="B40" s="36" t="str">
        <x:v>XVII</x:v>
      </x:c>
      <x:c r="C40" s="36" t="str">
        <x:v>6</x:v>
      </x:c>
      <x:c r="D40" s="43" t="str">
        <x:v>-458.771863144769441</x:v>
      </x:c>
      <x:c r="E40" s="43" t="str">
        <x:v>-458.771863146718090</x:v>
      </x:c>
      <x:c r="F40" s="43" t="str">
        <x:v>+1.948649241967e-09</x:v>
      </x:c>
      <x:c r="G40" s="40" t="str">
        <x:v>e8ce9e1b46f8e2cd1cbe22c7dc094e45e1768d16e38b56f4679eaf6044631200</x:v>
      </x:c>
      <x:c r="H40" s="40" t="str">
        <x:v>033b7f814d3ab92072b808a392823d392d72b4221acdb4b6a6eb72faeec5ccad</x:v>
      </x:c>
      <x:c r="I40" s="40" t="str">
        <x:v>478284e48637a603eb97df0c81e2db5fe88a7bf2b67bdca4d010c783510b48b2</x:v>
      </x:c>
      <x:c r="J40" s="36" t="str">
        <x:v>0.1</x:v>
      </x:c>
      <x:c r="K40" s="36" t="str">
        <x:v>PASS</x:v>
      </x:c>
    </x:row>
    <x:row r="41" ht="39.599998474121094" hidden="0" customHeight="1">
      <x:c r="A41" s="36" t="str">
        <x:v>4</x:v>
      </x:c>
      <x:c r="B41" s="36" t="str">
        <x:v>Ih</x:v>
      </x:c>
      <x:c r="C41" s="36" t="str">
        <x:v>12</x:v>
      </x:c>
      <x:c r="D41" s="43" t="str">
        <x:v>-917.480804555006102</x:v>
      </x:c>
      <x:c r="E41" s="43" t="str">
        <x:v>-917.480804529053785</x:v>
      </x:c>
      <x:c r="F41" s="43" t="str">
        <x:v>-2.595231762825e-08</x:v>
      </x:c>
      <x:c r="G41" s="40" t="str">
        <x:v>beca796a44a0aed7a4097deb996dc051322d51e417977beadfcc8e60889cc55d</x:v>
      </x:c>
      <x:c r="H41" s="40" t="str">
        <x:v>21bee2711afff2550fa1a122a6e0418ad230f7821ce35a98a30f643bc55f6dac</x:v>
      </x:c>
      <x:c r="I41" s="40" t="str">
        <x:v>502636e949cc72a2fe8d34bc127726e1cce79431986bd6cdb72729a2cc6e2b34</x:v>
      </x:c>
      <x:c r="J41" s="36" t="str">
        <x:v>0.1</x:v>
      </x:c>
      <x:c r="K41" s="36" t="str">
        <x:v>PASS</x:v>
      </x:c>
    </x:row>
    <x:row r="42" ht="39.599998474121094" hidden="0" customHeight="1">
      <x:c r="A42" s="36" t="str">
        <x:v>4</x:v>
      </x:c>
      <x:c r="B42" s="36" t="str">
        <x:v>II</x:v>
      </x:c>
      <x:c r="C42" s="36" t="str">
        <x:v>12</x:v>
      </x:c>
      <x:c r="D42" s="43" t="str">
        <x:v>-917.492291028489035</x:v>
      </x:c>
      <x:c r="E42" s="43" t="str">
        <x:v>-917.492291031198079</x:v>
      </x:c>
      <x:c r="F42" s="43" t="str">
        <x:v>+2.709043656068e-09</x:v>
      </x:c>
      <x:c r="G42" s="40" t="str">
        <x:v>5ec40d2356af2e13f390437470de8c8ea381934f678cda9807917f4c562c9ed2</x:v>
      </x:c>
      <x:c r="H42" s="40" t="str">
        <x:v>d539f51c982bd238a511da4596c3c8c89a2ead224acb8840570e8e5b39273a5c</x:v>
      </x:c>
      <x:c r="I42" s="40" t="str">
        <x:v>c4b76a244dac8e25bb2e5d5dcf0ad5e6a1725598fa812c3d3aa055e22f004612</x:v>
      </x:c>
      <x:c r="J42" s="36" t="str">
        <x:v>0.1</x:v>
      </x:c>
      <x:c r="K42" s="36" t="str">
        <x:v>PASS</x:v>
      </x:c>
    </x:row>
    <x:row r="43" ht="39.599998474121094" hidden="0" customHeight="1">
      <x:c r="A43" s="36" t="str">
        <x:v>4</x:v>
      </x:c>
      <x:c r="B43" s="36" t="str">
        <x:v>III</x:v>
      </x:c>
      <x:c r="C43" s="36" t="str">
        <x:v>12</x:v>
      </x:c>
      <x:c r="D43" s="43" t="str">
        <x:v>-917.475027203721083</x:v>
      </x:c>
      <x:c r="E43" s="43" t="str">
        <x:v>-917.475027206130449</x:v>
      </x:c>
      <x:c r="F43" s="43" t="str">
        <x:v>+2.409365151834e-09</x:v>
      </x:c>
      <x:c r="G43" s="40" t="str">
        <x:v>6bebccebba4b7520cbec810c61163c0249b36bcd0db20f0d2a11dfc5671c5475</x:v>
      </x:c>
      <x:c r="H43" s="40" t="str">
        <x:v>e1a2abcd0348851b68993c5f803498e221cceae18d60f203872eb2149762fffa</x:v>
      </x:c>
      <x:c r="I43" s="40" t="str">
        <x:v>777c2e1eedaff5acd61324ad41e228f98bb139c2f1249dcf24928830152b867c</x:v>
      </x:c>
      <x:c r="J43" s="36" t="str">
        <x:v>0.1</x:v>
      </x:c>
      <x:c r="K43" s="36" t="str">
        <x:v>PASS</x:v>
      </x:c>
    </x:row>
    <x:row r="44" ht="39.599998474121094" hidden="0" customHeight="1">
      <x:c r="A44" s="36" t="str">
        <x:v>4</x:v>
      </x:c>
      <x:c r="B44" s="36" t="str">
        <x:v>IV</x:v>
      </x:c>
      <x:c r="C44" s="36" t="str">
        <x:v>16</x:v>
      </x:c>
      <x:c r="D44" s="43" t="str">
        <x:v>-1223.299172848712942</x:v>
      </x:c>
      <x:c r="E44" s="43" t="str">
        <x:v>-1223.299172852307720</x:v>
      </x:c>
      <x:c r="F44" s="43" t="str">
        <x:v>+3.594777808757e-09</x:v>
      </x:c>
      <x:c r="G44" s="40" t="str">
        <x:v>2cd2557462705f19db0b9a3f1b30e3a56a4a9ec74db3be44bf82896fb786a4e5</x:v>
      </x:c>
      <x:c r="H44" s="40" t="str">
        <x:v>55f1574adad36588cf963f59ce03c341c5dbf93dcce0da7ca58000a4f0f49b36</x:v>
      </x:c>
      <x:c r="I44" s="40" t="str">
        <x:v>631c27ab0cff93df34b91d4b98a1350c1eeaa1445754d52e25e278faa0aaa607</x:v>
      </x:c>
      <x:c r="J44" s="36" t="str">
        <x:v>0.1</x:v>
      </x:c>
      <x:c r="K44" s="36" t="str">
        <x:v>PASS</x:v>
      </x:c>
    </x:row>
    <x:row r="45" ht="39.599998474121094" hidden="0" customHeight="1">
      <x:c r="A45" s="36" t="str">
        <x:v>4</x:v>
      </x:c>
      <x:c r="B45" s="36" t="str">
        <x:v>VI</x:v>
      </x:c>
      <x:c r="C45" s="36" t="str">
        <x:v>10</x:v>
      </x:c>
      <x:c r="D45" s="43" t="str">
        <x:v>-764.571328960676851</x:v>
      </x:c>
      <x:c r="E45" s="43" t="str">
        <x:v>-764.571328963272208</x:v>
      </x:c>
      <x:c r="F45" s="43" t="str">
        <x:v>+2.595356818347e-09</x:v>
      </x:c>
      <x:c r="G45" s="40" t="str">
        <x:v>b4f99f191e35732936797a382c1ee6bca4bb4c580c7449e7cc459e6d9428c03a</x:v>
      </x:c>
      <x:c r="H45" s="40" t="str">
        <x:v>00f42324783270a5543614593068ce7dd0ee29b48adba7b379913ac0408975b9</x:v>
      </x:c>
      <x:c r="I45" s="40" t="str">
        <x:v>1351bf0313464c1df589d9fab2dd7eea5bb2da799d91606cae467dd1997a1e5e</x:v>
      </x:c>
      <x:c r="J45" s="36" t="str">
        <x:v>0.1</x:v>
      </x:c>
      <x:c r="K45" s="36" t="str">
        <x:v>PASS</x:v>
      </x:c>
    </x:row>
    <x:row r="46" ht="39.599998474121094" hidden="0" customHeight="1">
      <x:c r="A46" s="36" t="str">
        <x:v>4</x:v>
      </x:c>
      <x:c r="B46" s="36" t="str">
        <x:v>VII</x:v>
      </x:c>
      <x:c r="C46" s="36" t="str">
        <x:v>12</x:v>
      </x:c>
      <x:c r="D46" s="43" t="str">
        <x:v>-917.773115791423038</x:v>
      </x:c>
      <x:c r="E46" s="43" t="str">
        <x:v>-917.773115679897728</x:v>
      </x:c>
      <x:c r="F46" s="43" t="str">
        <x:v>-1.115253098760e-07</x:v>
      </x:c>
      <x:c r="G46" s="40" t="str">
        <x:v>1a2c377e2aad12ab4563f59117a193d7d61568ab09c3aa26d7f07060c051fba2</x:v>
      </x:c>
      <x:c r="H46" s="40" t="str">
        <x:v>1355fe8964e8c05bd6cd435748a79983514c67e197b0a9a4d0d7a2962006ad6a</x:v>
      </x:c>
      <x:c r="I46" s="40" t="str">
        <x:v>67d1507c82fc8a3c7c765fa2e2dd67c577b7784b588e74180af599a66d63c47d</x:v>
      </x:c>
      <x:c r="J46" s="36" t="str">
        <x:v>0.1</x:v>
      </x:c>
      <x:c r="K46" s="36" t="str">
        <x:v>PASS</x:v>
      </x:c>
    </x:row>
    <x:row r="47" ht="39.599998474121094" hidden="0" customHeight="1">
      <x:c r="A47" s="36" t="str">
        <x:v>4</x:v>
      </x:c>
      <x:c r="B47" s="36" t="str">
        <x:v>VIII</x:v>
      </x:c>
      <x:c r="C47" s="36" t="str">
        <x:v>8</x:v>
      </x:c>
      <x:c r="D47" s="43" t="str">
        <x:v>-611.672650059675902</x:v>
      </x:c>
      <x:c r="E47" s="43" t="str">
        <x:v>-611.672650062782736</x:v>
      </x:c>
      <x:c r="F47" s="43" t="str">
        <x:v>+3.106833901256e-09</x:v>
      </x:c>
      <x:c r="G47" s="40" t="str">
        <x:v>f1f8cb185023d7390e7fabe89d220fe00d52c37d8607e5fcbef2931536d55244</x:v>
      </x:c>
      <x:c r="H47" s="40" t="str">
        <x:v>f5361203aad9178ca9e18949759953c99a5dedc34d52dc23502c0fa96ad7b937</x:v>
      </x:c>
      <x:c r="I47" s="40" t="str">
        <x:v>a5f52417cb6c1cb6e5b99afaa8b43524a2b59b06481226dc6a48d11a522bb5fb</x:v>
      </x:c>
      <x:c r="J47" s="36" t="str">
        <x:v>0.1</x:v>
      </x:c>
      <x:c r="K47" s="36" t="str">
        <x:v>PASS</x:v>
      </x:c>
    </x:row>
    <x:row r="48" ht="39.599998474121094" hidden="0" customHeight="1">
      <x:c r="A48" s="36" t="str">
        <x:v>4</x:v>
      </x:c>
      <x:c r="B48" s="36" t="str">
        <x:v>IX</x:v>
      </x:c>
      <x:c r="C48" s="36" t="str">
        <x:v>12</x:v>
      </x:c>
      <x:c r="D48" s="43" t="str">
        <x:v>-917.482508782765308</x:v>
      </x:c>
      <x:c r="E48" s="43" t="str">
        <x:v>-917.482508781912770</x:v>
      </x:c>
      <x:c r="F48" s="43" t="str">
        <x:v>-8.525375960744e-10</x:v>
      </x:c>
      <x:c r="G48" s="40" t="str">
        <x:v>95a3da6fcb303e0e4aee79bff5160ba45f722ce4af31ba7cc499ae7af56a859c</x:v>
      </x:c>
      <x:c r="H48" s="40" t="str">
        <x:v>dd4caf2ba75de61dd48526ee1b8cc67ca8b868a70cf691d642e50c82c233fcbd</x:v>
      </x:c>
      <x:c r="I48" s="40" t="str">
        <x:v>44e28671647ccafef18483646148a6be01173a40ae17ffd038855c1f88259ee3</x:v>
      </x:c>
      <x:c r="J48" s="36" t="str">
        <x:v>0.1</x:v>
      </x:c>
      <x:c r="K48" s="36" t="str">
        <x:v>PASS</x:v>
      </x:c>
    </x:row>
    <x:row r="49" ht="39.599998474121094" hidden="0" customHeight="1">
      <x:c r="A49" s="36" t="str">
        <x:v>4</x:v>
      </x:c>
      <x:c r="B49" s="36" t="str">
        <x:v>XI</x:v>
      </x:c>
      <x:c r="C49" s="36" t="str">
        <x:v>8</x:v>
      </x:c>
      <x:c r="D49" s="43" t="str">
        <x:v>-611.699194429868612</x:v>
      </x:c>
      <x:c r="E49" s="43" t="str">
        <x:v>-611.699194432538320</x:v>
      </x:c>
      <x:c r="F49" s="43" t="str">
        <x:v>+2.669708010217e-09</x:v>
      </x:c>
      <x:c r="G49" s="40" t="str">
        <x:v>506a9317b481fca4b027199fa5aa778f05f0741a882d774bac1a08d23dea38f3</x:v>
      </x:c>
      <x:c r="H49" s="40" t="str">
        <x:v>260b177144419167dce97023f9826fb0b5e874ad8e4e7a7b7e7fd45b382ffe2b</x:v>
      </x:c>
      <x:c r="I49" s="40" t="str">
        <x:v>f206d84a1fc49e7b689ebbfe3add78f286212d32b190a67da0d1199c84d7c8fe</x:v>
      </x:c>
      <x:c r="J49" s="36" t="str">
        <x:v>0.1</x:v>
      </x:c>
      <x:c r="K49" s="36" t="str">
        <x:v>PASS</x:v>
      </x:c>
    </x:row>
    <x:row r="50" ht="39.599998474121094" hidden="0" customHeight="1">
      <x:c r="A50" s="36" t="str">
        <x:v>4</x:v>
      </x:c>
      <x:c r="B50" s="36" t="str">
        <x:v>XIII</x:v>
      </x:c>
      <x:c r="C50" s="36" t="str">
        <x:v>28</x:v>
      </x:c>
      <x:c r="D50" s="43" t="str">
        <x:v>-2140.787231490209251</x:v>
      </x:c>
      <x:c r="E50" s="43" t="str">
        <x:v>-2140.787231496302866</x:v>
      </x:c>
      <x:c r="F50" s="43" t="str">
        <x:v>+6.093614501879e-09</x:v>
      </x:c>
      <x:c r="G50" s="40" t="str">
        <x:v>7aa17476ab52564c1d7365e3369963dab51fc7b839bf9c2cf114c9510e35a86c</x:v>
      </x:c>
      <x:c r="H50" s="40" t="str">
        <x:v>53f59525db68e0c7596661734c550f161e2f5c84e93cb6270a42fa5fc450009f</x:v>
      </x:c>
      <x:c r="I50" s="40" t="str">
        <x:v>0a7aa4ae3142d7f2b86376d6e44be5d72e237d9403c505f1a29bdd12028b35eb</x:v>
      </x:c>
      <x:c r="J50" s="36" t="str">
        <x:v>0.1</x:v>
      </x:c>
      <x:c r="K50" s="36" t="str">
        <x:v>PASS</x:v>
      </x:c>
    </x:row>
    <x:row r="51" ht="39.599998474121094" hidden="0" customHeight="1">
      <x:c r="A51" s="36" t="str">
        <x:v>4</x:v>
      </x:c>
      <x:c r="B51" s="36" t="str">
        <x:v>XIV</x:v>
      </x:c>
      <x:c r="C51" s="36" t="str">
        <x:v>12</x:v>
      </x:c>
      <x:c r="D51" s="43" t="str">
        <x:v>-917.590215044435126</x:v>
      </x:c>
      <x:c r="E51" s="43" t="str">
        <x:v>-917.590215049714175</x:v>
      </x:c>
      <x:c r="F51" s="43" t="str">
        <x:v>+5.279048309603e-09</x:v>
      </x:c>
      <x:c r="G51" s="40" t="str">
        <x:v>d659c108d1d3e892de0f0edf12c568d3056f6cd87147fa6706a7bf87699568ff</x:v>
      </x:c>
      <x:c r="H51" s="40" t="str">
        <x:v>5b87758935680acd8ff1e572d3ab6f23ddccc03a6583f3d03a9d6615210c1bdb</x:v>
      </x:c>
      <x:c r="I51" s="40" t="str">
        <x:v>b8f43b68c42392c4406e1837cd29e045f353abb5f36a6e994148539aa889e381</x:v>
      </x:c>
      <x:c r="J51" s="36" t="str">
        <x:v>0.1</x:v>
      </x:c>
      <x:c r="K51" s="36" t="str">
        <x:v>PASS</x:v>
      </x:c>
    </x:row>
    <x:row r="52" ht="39.599998474121094" hidden="0" customHeight="1">
      <x:c r="A52" s="36" t="str">
        <x:v>4</x:v>
      </x:c>
      <x:c r="B52" s="36" t="str">
        <x:v>XV</x:v>
      </x:c>
      <x:c r="C52" s="36" t="str">
        <x:v>10</x:v>
      </x:c>
      <x:c r="D52" s="43" t="str">
        <x:v>-764.571516857904271</x:v>
      </x:c>
      <x:c r="E52" s="43" t="str">
        <x:v>-764.571516860491329</x:v>
      </x:c>
      <x:c r="F52" s="43" t="str">
        <x:v>+2.587057679193e-09</x:v>
      </x:c>
      <x:c r="G52" s="40" t="str">
        <x:v>32f9481cde90c0561308f006f0e43176ed593d454f50afc393fd2649eec520d7</x:v>
      </x:c>
      <x:c r="H52" s="40" t="str">
        <x:v>7934a04b036ec755860b0dab77f85db7d1907b3f99029e8962acba0240ac1605</x:v>
      </x:c>
      <x:c r="I52" s="40" t="str">
        <x:v>ea3034a6c763b483e737ac3d2768fe851a2030e8fc4aca7d1d79e9ffb790e20f</x:v>
      </x:c>
      <x:c r="J52" s="36" t="str">
        <x:v>0.1</x:v>
      </x:c>
      <x:c r="K52" s="36" t="str">
        <x:v>PASS</x:v>
      </x:c>
    </x:row>
    <x:row r="53" ht="39.599998474121094" hidden="0" customHeight="1">
      <x:c r="A53" s="36" t="str">
        <x:v>4</x:v>
      </x:c>
      <x:c r="B53" s="36" t="str">
        <x:v>XVII</x:v>
      </x:c>
      <x:c r="C53" s="36" t="str">
        <x:v>6</x:v>
      </x:c>
      <x:c r="D53" s="43" t="str">
        <x:v>-458.742064187678068</x:v>
      </x:c>
      <x:c r="E53" s="43" t="str">
        <x:v>-458.742064188826873</x:v>
      </x:c>
      <x:c r="F53" s="43" t="str">
        <x:v>+1.148805495177e-09</x:v>
      </x:c>
      <x:c r="G53" s="40" t="str">
        <x:v>0cb5ed566db86622b30b0179e1e2507be36f679c4015de50c10ba3054e837503</x:v>
      </x:c>
      <x:c r="H53" s="40" t="str">
        <x:v>ca0dc8899dacc96471f5acf270c351af8fb8ed649de1e7614154d19956e19001</x:v>
      </x:c>
      <x:c r="I53" s="40" t="str">
        <x:v>0d5802efa48207e918a2259608bfb76cfa75de1cdfd14c25bc05fd19312c7546</x:v>
      </x:c>
      <x:c r="J53" s="36" t="str">
        <x:v>0.1</x:v>
      </x:c>
      <x:c r="K53" s="36" t="str">
        <x:v>PASS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5" hidden="0" customWidth="1"/>
    <x:col min="2" max="2" width="11" hidden="0" customWidth="1"/>
    <x:col min="3" max="3" width="11" hidden="0" customWidth="1"/>
    <x:col min="4" max="4" width="26.25" hidden="0" customWidth="1"/>
    <x:col min="5" max="5" width="25.75" hidden="0" customWidth="1"/>
    <x:col min="6" max="6" width="18.25" hidden="0" customWidth="1"/>
    <x:col min="7" max="7" width="25.75" hidden="0" customWidth="1"/>
    <x:col min="8" max="8" width="11" hidden="0" customWidth="1"/>
  </x:cols>
  <x:sheetData>
    <x:row r="1" ht="34" hidden="0" customHeight="1">
      <x:c r="A1" s="39" t="str">
        <x:v>method</x:v>
      </x:c>
      <x:c r="B1" s="39" t="str">
        <x:v>mesh_n</x:v>
      </x:c>
      <x:c r="C1" s="39" t="str">
        <x:v>phase</x:v>
      </x:c>
      <x:c r="D1" s="39" t="str">
        <x:v>relative_energy_kj_mol_per_H2O</x:v>
      </x:c>
      <x:c r="E1" s="39" t="str">
        <x:v>dmc_reference_kj_mol_per_H2O</x:v>
      </x:c>
      <x:c r="F1" s="39" t="str">
        <x:v>error_kj_mol_per_H2O</x:v>
      </x:c>
      <x:c r="G1" s="39" t="str">
        <x:v>absolute_error_kj_mol_per_H2O</x:v>
      </x:c>
      <x:c r="H1" s="39" t="str">
        <x:v>qualification</x:v>
      </x:c>
    </x:row>
    <x:row r="2" ht="15" hidden="0" customHeight="1">
      <x:c r="A2" s="36" t="str">
        <x:v>CP2K-native pbc provider</x:v>
      </x:c>
      <x:c r="B2" s="36" t="str">
        <x:v>1</x:v>
      </x:c>
      <x:c r="C2" s="36" t="str">
        <x:v>II</x:v>
      </x:c>
      <x:c r="D2" s="42" t="str">
        <x:v>-85.402832141787</x:v>
      </x:c>
      <x:c r="E2" s="42" t="str">
        <x:v>0.310000</x:v>
      </x:c>
      <x:c r="F2" s="42" t="str">
        <x:v>-85.712832141787</x:v>
      </x:c>
      <x:c r="G2" s="42" t="str">
        <x:v>85.712832141787</x:v>
      </x:c>
      <x:c r="H2" s="36" t="str">
        <x:v>PASS</x:v>
      </x:c>
    </x:row>
    <x:row r="3" ht="15" hidden="0" customHeight="1">
      <x:c r="A3" s="36" t="str">
        <x:v>CP2K-native pbc provider</x:v>
      </x:c>
      <x:c r="B3" s="36" t="str">
        <x:v>1</x:v>
      </x:c>
      <x:c r="C3" s="36" t="str">
        <x:v>III</x:v>
      </x:c>
      <x:c r="D3" s="42" t="str">
        <x:v>-52.784771268542</x:v>
      </x:c>
      <x:c r="E3" s="42" t="str">
        <x:v>1.250000</x:v>
      </x:c>
      <x:c r="F3" s="42" t="str">
        <x:v>-54.034771268542</x:v>
      </x:c>
      <x:c r="G3" s="42" t="str">
        <x:v>54.034771268542</x:v>
      </x:c>
      <x:c r="H3" s="36" t="str">
        <x:v>PASS</x:v>
      </x:c>
    </x:row>
    <x:row r="4" ht="15" hidden="0" customHeight="1">
      <x:c r="A4" s="36" t="str">
        <x:v>CP2K-native pbc provider</x:v>
      </x:c>
      <x:c r="B4" s="36" t="str">
        <x:v>1</x:v>
      </x:c>
      <x:c r="C4" s="36" t="str">
        <x:v>IV</x:v>
      </x:c>
      <x:c r="D4" s="42" t="str">
        <x:v>38.666296563445</x:v>
      </x:c>
      <x:c r="E4" s="42" t="str">
        <x:v>3.830000</x:v>
      </x:c>
      <x:c r="F4" s="42" t="str">
        <x:v>34.836296563445</x:v>
      </x:c>
      <x:c r="G4" s="42" t="str">
        <x:v>34.836296563445</x:v>
      </x:c>
      <x:c r="H4" s="36" t="str">
        <x:v>PASS</x:v>
      </x:c>
    </x:row>
    <x:row r="5" ht="15" hidden="0" customHeight="1">
      <x:c r="A5" s="36" t="str">
        <x:v>CP2K-native pbc provider</x:v>
      </x:c>
      <x:c r="B5" s="36" t="str">
        <x:v>1</x:v>
      </x:c>
      <x:c r="C5" s="36" t="str">
        <x:v>VI</x:v>
      </x:c>
      <x:c r="D5" s="42" t="str">
        <x:v>-119.951875945327</x:v>
      </x:c>
      <x:c r="E5" s="42" t="str">
        <x:v>1.780000</x:v>
      </x:c>
      <x:c r="F5" s="42" t="str">
        <x:v>-121.731875945327</x:v>
      </x:c>
      <x:c r="G5" s="42" t="str">
        <x:v>121.731875945327</x:v>
      </x:c>
      <x:c r="H5" s="36" t="str">
        <x:v>PASS</x:v>
      </x:c>
    </x:row>
    <x:row r="6" ht="15" hidden="0" customHeight="1">
      <x:c r="A6" s="36" t="str">
        <x:v>CP2K-native pbc provider</x:v>
      </x:c>
      <x:c r="B6" s="36" t="str">
        <x:v>1</x:v>
      </x:c>
      <x:c r="C6" s="36" t="str">
        <x:v>VII</x:v>
      </x:c>
      <x:c r="D6" s="42" t="str">
        <x:v>-491.873082184693</x:v>
      </x:c>
      <x:c r="E6" s="42" t="str">
        <x:v>4.990000</x:v>
      </x:c>
      <x:c r="F6" s="42" t="str">
        <x:v>-496.863082184693</x:v>
      </x:c>
      <x:c r="G6" s="42" t="str">
        <x:v>496.863082184693</x:v>
      </x:c>
      <x:c r="H6" s="36" t="str">
        <x:v>PASS</x:v>
      </x:c>
    </x:row>
    <x:row r="7" ht="15" hidden="0" customHeight="1">
      <x:c r="A7" s="36" t="str">
        <x:v>CP2K-native pbc provider</x:v>
      </x:c>
      <x:c r="B7" s="36" t="str">
        <x:v>1</x:v>
      </x:c>
      <x:c r="C7" s="36" t="str">
        <x:v>VIII</x:v>
      </x:c>
      <x:c r="D7" s="42" t="str">
        <x:v>-227.181419883129</x:v>
      </x:c>
      <x:c r="E7" s="42" t="str">
        <x:v>4.230000</x:v>
      </x:c>
      <x:c r="F7" s="42" t="str">
        <x:v>-231.411419883129</x:v>
      </x:c>
      <x:c r="G7" s="42" t="str">
        <x:v>231.411419883129</x:v>
      </x:c>
      <x:c r="H7" s="36" t="str">
        <x:v>PASS</x:v>
      </x:c>
    </x:row>
    <x:row r="8" ht="15" hidden="0" customHeight="1">
      <x:c r="A8" s="36" t="str">
        <x:v>CP2K-native pbc provider</x:v>
      </x:c>
      <x:c r="B8" s="36" t="str">
        <x:v>1</x:v>
      </x:c>
      <x:c r="C8" s="36" t="str">
        <x:v>IX</x:v>
      </x:c>
      <x:c r="D8" s="42" t="str">
        <x:v>-36.269951766466</x:v>
      </x:c>
      <x:c r="E8" s="42" t="str">
        <x:v>0.600000</x:v>
      </x:c>
      <x:c r="F8" s="42" t="str">
        <x:v>-36.869951766466</x:v>
      </x:c>
      <x:c r="G8" s="42" t="str">
        <x:v>36.869951766466</x:v>
      </x:c>
      <x:c r="H8" s="36" t="str">
        <x:v>PASS</x:v>
      </x:c>
    </x:row>
    <x:row r="9" ht="15" hidden="0" customHeight="1">
      <x:c r="A9" s="36" t="str">
        <x:v>CP2K-native pbc provider</x:v>
      </x:c>
      <x:c r="B9" s="36" t="str">
        <x:v>1</x:v>
      </x:c>
      <x:c r="C9" s="36" t="str">
        <x:v>XI</x:v>
      </x:c>
      <x:c r="D9" s="42" t="str">
        <x:v>-299.258517764208</x:v>
      </x:c>
      <x:c r="E9" s="42" t="str">
        <x:v>0.160000</x:v>
      </x:c>
      <x:c r="F9" s="42" t="str">
        <x:v>-299.418517764208</x:v>
      </x:c>
      <x:c r="G9" s="42" t="str">
        <x:v>299.418517764208</x:v>
      </x:c>
      <x:c r="H9" s="36" t="str">
        <x:v>PASS</x:v>
      </x:c>
    </x:row>
    <x:row r="10" ht="15" hidden="0" customHeight="1">
      <x:c r="A10" s="36" t="str">
        <x:v>CP2K-native pbc provider</x:v>
      </x:c>
      <x:c r="B10" s="36" t="str">
        <x:v>1</x:v>
      </x:c>
      <x:c r="C10" s="36" t="str">
        <x:v>XIII</x:v>
      </x:c>
      <x:c r="D10" s="42" t="str">
        <x:v>16.464730690270</x:v>
      </x:c>
      <x:c r="E10" s="42" t="str">
        <x:v>2.120000</x:v>
      </x:c>
      <x:c r="F10" s="42" t="str">
        <x:v>14.344730690270</x:v>
      </x:c>
      <x:c r="G10" s="42" t="str">
        <x:v>14.344730690270</x:v>
      </x:c>
      <x:c r="H10" s="36" t="str">
        <x:v>PASS</x:v>
      </x:c>
    </x:row>
    <x:row r="11" ht="15" hidden="0" customHeight="1">
      <x:c r="A11" s="36" t="str">
        <x:v>CP2K-native pbc provider</x:v>
      </x:c>
      <x:c r="B11" s="36" t="str">
        <x:v>1</x:v>
      </x:c>
      <x:c r="C11" s="36" t="str">
        <x:v>XIV</x:v>
      </x:c>
      <x:c r="D11" s="42" t="str">
        <x:v>-351.956575258314</x:v>
      </x:c>
      <x:c r="E11" s="42" t="str">
        <x:v>1.700000</x:v>
      </x:c>
      <x:c r="F11" s="42" t="str">
        <x:v>-353.656575258314</x:v>
      </x:c>
      <x:c r="G11" s="42" t="str">
        <x:v>353.656575258314</x:v>
      </x:c>
      <x:c r="H11" s="36" t="str">
        <x:v>PASS</x:v>
      </x:c>
    </x:row>
    <x:row r="12" ht="15" hidden="0" customHeight="1">
      <x:c r="A12" s="36" t="str">
        <x:v>CP2K-native pbc provider</x:v>
      </x:c>
      <x:c r="B12" s="36" t="str">
        <x:v>1</x:v>
      </x:c>
      <x:c r="C12" s="36" t="str">
        <x:v>XV</x:v>
      </x:c>
      <x:c r="D12" s="42" t="str">
        <x:v>-121.156627657516</x:v>
      </x:c>
      <x:c r="E12" s="42" t="str">
        <x:v>1.740000</x:v>
      </x:c>
      <x:c r="F12" s="42" t="str">
        <x:v>-122.896627657516</x:v>
      </x:c>
      <x:c r="G12" s="42" t="str">
        <x:v>122.896627657516</x:v>
      </x:c>
      <x:c r="H12" s="36" t="str">
        <x:v>PASS</x:v>
      </x:c>
    </x:row>
    <x:row r="13" ht="15" hidden="0" customHeight="1">
      <x:c r="A13" s="36" t="str">
        <x:v>CP2K-native pbc provider</x:v>
      </x:c>
      <x:c r="B13" s="36" t="str">
        <x:v>1</x:v>
      </x:c>
      <x:c r="C13" s="36" t="str">
        <x:v>XVII</x:v>
      </x:c>
      <x:c r="D13" s="42" t="str">
        <x:v>-112.486904025341</x:v>
      </x:c>
      <x:c r="E13" s="42" t="str">
        <x:v>1.750000</x:v>
      </x:c>
      <x:c r="F13" s="42" t="str">
        <x:v>-114.236904025341</x:v>
      </x:c>
      <x:c r="G13" s="42" t="str">
        <x:v>114.236904025341</x:v>
      </x:c>
      <x:c r="H13" s="36" t="str">
        <x:v>PASS</x:v>
      </x:c>
    </x:row>
    <x:row r="14" ht="15" hidden="0" customHeight="1">
      <x:c r="A14" s="36" t="str">
        <x:v>CP2K-native pbc provider</x:v>
      </x:c>
      <x:c r="B14" s="36" t="str">
        <x:v>2</x:v>
      </x:c>
      <x:c r="C14" s="36" t="str">
        <x:v>II</x:v>
      </x:c>
      <x:c r="D14" s="42" t="str">
        <x:v>-40.052766068529</x:v>
      </x:c>
      <x:c r="E14" s="42" t="str">
        <x:v>0.310000</x:v>
      </x:c>
      <x:c r="F14" s="42" t="str">
        <x:v>-40.362766068529</x:v>
      </x:c>
      <x:c r="G14" s="42" t="str">
        <x:v>40.362766068529</x:v>
      </x:c>
      <x:c r="H14" s="36" t="str">
        <x:v>PASS</x:v>
      </x:c>
    </x:row>
    <x:row r="15" ht="15" hidden="0" customHeight="1">
      <x:c r="A15" s="36" t="str">
        <x:v>CP2K-native pbc provider</x:v>
      </x:c>
      <x:c r="B15" s="36" t="str">
        <x:v>2</x:v>
      </x:c>
      <x:c r="C15" s="36" t="str">
        <x:v>III</x:v>
      </x:c>
      <x:c r="D15" s="42" t="str">
        <x:v>-21.669455109452</x:v>
      </x:c>
      <x:c r="E15" s="42" t="str">
        <x:v>1.250000</x:v>
      </x:c>
      <x:c r="F15" s="42" t="str">
        <x:v>-22.919455109452</x:v>
      </x:c>
      <x:c r="G15" s="42" t="str">
        <x:v>22.919455109452</x:v>
      </x:c>
      <x:c r="H15" s="36" t="str">
        <x:v>PASS</x:v>
      </x:c>
    </x:row>
    <x:row r="16" ht="15" hidden="0" customHeight="1">
      <x:c r="A16" s="36" t="str">
        <x:v>CP2K-native pbc provider</x:v>
      </x:c>
      <x:c r="B16" s="36" t="str">
        <x:v>2</x:v>
      </x:c>
      <x:c r="C16" s="36" t="str">
        <x:v>IV</x:v>
      </x:c>
      <x:c r="D16" s="42" t="str">
        <x:v>14.926650765275</x:v>
      </x:c>
      <x:c r="E16" s="42" t="str">
        <x:v>3.830000</x:v>
      </x:c>
      <x:c r="F16" s="42" t="str">
        <x:v>11.096650765275</x:v>
      </x:c>
      <x:c r="G16" s="42" t="str">
        <x:v>11.096650765275</x:v>
      </x:c>
      <x:c r="H16" s="36" t="str">
        <x:v>PASS</x:v>
      </x:c>
    </x:row>
    <x:row r="17" ht="15" hidden="0" customHeight="1">
      <x:c r="A17" s="36" t="str">
        <x:v>CP2K-native pbc provider</x:v>
      </x:c>
      <x:c r="B17" s="36" t="str">
        <x:v>2</x:v>
      </x:c>
      <x:c r="C17" s="36" t="str">
        <x:v>VI</x:v>
      </x:c>
      <x:c r="D17" s="42" t="str">
        <x:v>-57.367272481186</x:v>
      </x:c>
      <x:c r="E17" s="42" t="str">
        <x:v>1.780000</x:v>
      </x:c>
      <x:c r="F17" s="42" t="str">
        <x:v>-59.147272481186</x:v>
      </x:c>
      <x:c r="G17" s="42" t="str">
        <x:v>59.147272481186</x:v>
      </x:c>
      <x:c r="H17" s="36" t="str">
        <x:v>PASS</x:v>
      </x:c>
    </x:row>
    <x:row r="18" ht="15" hidden="0" customHeight="1">
      <x:c r="A18" s="36" t="str">
        <x:v>CP2K-native pbc provider</x:v>
      </x:c>
      <x:c r="B18" s="36" t="str">
        <x:v>2</x:v>
      </x:c>
      <x:c r="C18" s="36" t="str">
        <x:v>VII</x:v>
      </x:c>
      <x:c r="D18" s="42" t="str">
        <x:v>-299.975226317139</x:v>
      </x:c>
      <x:c r="E18" s="42" t="str">
        <x:v>4.990000</x:v>
      </x:c>
      <x:c r="F18" s="42" t="str">
        <x:v>-304.965226317139</x:v>
      </x:c>
      <x:c r="G18" s="42" t="str">
        <x:v>304.965226317139</x:v>
      </x:c>
      <x:c r="H18" s="36" t="str">
        <x:v>PASS</x:v>
      </x:c>
    </x:row>
    <x:row r="19" ht="15" hidden="0" customHeight="1">
      <x:c r="A19" s="36" t="str">
        <x:v>CP2K-native pbc provider</x:v>
      </x:c>
      <x:c r="B19" s="36" t="str">
        <x:v>2</x:v>
      </x:c>
      <x:c r="C19" s="36" t="str">
        <x:v>VIII</x:v>
      </x:c>
      <x:c r="D19" s="42" t="str">
        <x:v>-121.493618846350</x:v>
      </x:c>
      <x:c r="E19" s="42" t="str">
        <x:v>4.230000</x:v>
      </x:c>
      <x:c r="F19" s="42" t="str">
        <x:v>-125.723618846350</x:v>
      </x:c>
      <x:c r="G19" s="42" t="str">
        <x:v>125.723618846350</x:v>
      </x:c>
      <x:c r="H19" s="36" t="str">
        <x:v>PASS</x:v>
      </x:c>
    </x:row>
    <x:row r="20" ht="15" hidden="0" customHeight="1">
      <x:c r="A20" s="36" t="str">
        <x:v>CP2K-native pbc provider</x:v>
      </x:c>
      <x:c r="B20" s="36" t="str">
        <x:v>2</x:v>
      </x:c>
      <x:c r="C20" s="36" t="str">
        <x:v>IX</x:v>
      </x:c>
      <x:c r="D20" s="42" t="str">
        <x:v>-14.811030410780</x:v>
      </x:c>
      <x:c r="E20" s="42" t="str">
        <x:v>0.600000</x:v>
      </x:c>
      <x:c r="F20" s="42" t="str">
        <x:v>-15.411030410780</x:v>
      </x:c>
      <x:c r="G20" s="42" t="str">
        <x:v>15.411030410780</x:v>
      </x:c>
      <x:c r="H20" s="36" t="str">
        <x:v>PASS</x:v>
      </x:c>
    </x:row>
    <x:row r="21" ht="15" hidden="0" customHeight="1">
      <x:c r="A21" s="36" t="str">
        <x:v>CP2K-native pbc provider</x:v>
      </x:c>
      <x:c r="B21" s="36" t="str">
        <x:v>2</x:v>
      </x:c>
      <x:c r="C21" s="36" t="str">
        <x:v>XI</x:v>
      </x:c>
      <x:c r="D21" s="42" t="str">
        <x:v>-165.236805185714</x:v>
      </x:c>
      <x:c r="E21" s="42" t="str">
        <x:v>0.160000</x:v>
      </x:c>
      <x:c r="F21" s="42" t="str">
        <x:v>-165.396805185714</x:v>
      </x:c>
      <x:c r="G21" s="42" t="str">
        <x:v>165.396805185714</x:v>
      </x:c>
      <x:c r="H21" s="36" t="str">
        <x:v>PASS</x:v>
      </x:c>
    </x:row>
    <x:row r="22" ht="15" hidden="0" customHeight="1">
      <x:c r="A22" s="36" t="str">
        <x:v>CP2K-native pbc provider</x:v>
      </x:c>
      <x:c r="B22" s="36" t="str">
        <x:v>2</x:v>
      </x:c>
      <x:c r="C22" s="36" t="str">
        <x:v>XIII</x:v>
      </x:c>
      <x:c r="D22" s="42" t="str">
        <x:v>6.872360672447</x:v>
      </x:c>
      <x:c r="E22" s="42" t="str">
        <x:v>2.120000</x:v>
      </x:c>
      <x:c r="F22" s="42" t="str">
        <x:v>4.752360672447</x:v>
      </x:c>
      <x:c r="G22" s="42" t="str">
        <x:v>4.752360672447</x:v>
      </x:c>
      <x:c r="H22" s="36" t="str">
        <x:v>PASS</x:v>
      </x:c>
    </x:row>
    <x:row r="23" ht="15" hidden="0" customHeight="1">
      <x:c r="A23" s="36" t="str">
        <x:v>CP2K-native pbc provider</x:v>
      </x:c>
      <x:c r="B23" s="36" t="str">
        <x:v>2</x:v>
      </x:c>
      <x:c r="C23" s="36" t="str">
        <x:v>XIV</x:v>
      </x:c>
      <x:c r="D23" s="42" t="str">
        <x:v>-199.607037403887</x:v>
      </x:c>
      <x:c r="E23" s="42" t="str">
        <x:v>1.700000</x:v>
      </x:c>
      <x:c r="F23" s="42" t="str">
        <x:v>-201.307037403887</x:v>
      </x:c>
      <x:c r="G23" s="42" t="str">
        <x:v>201.307037403887</x:v>
      </x:c>
      <x:c r="H23" s="36" t="str">
        <x:v>PASS</x:v>
      </x:c>
    </x:row>
    <x:row r="24" ht="15" hidden="0" customHeight="1">
      <x:c r="A24" s="36" t="str">
        <x:v>CP2K-native pbc provider</x:v>
      </x:c>
      <x:c r="B24" s="36" t="str">
        <x:v>2</x:v>
      </x:c>
      <x:c r="C24" s="36" t="str">
        <x:v>XV</x:v>
      </x:c>
      <x:c r="D24" s="42" t="str">
        <x:v>-58.045560486171</x:v>
      </x:c>
      <x:c r="E24" s="42" t="str">
        <x:v>1.740000</x:v>
      </x:c>
      <x:c r="F24" s="42" t="str">
        <x:v>-59.785560486171</x:v>
      </x:c>
      <x:c r="G24" s="42" t="str">
        <x:v>59.785560486171</x:v>
      </x:c>
      <x:c r="H24" s="36" t="str">
        <x:v>PASS</x:v>
      </x:c>
    </x:row>
    <x:row r="25" ht="15" hidden="0" customHeight="1">
      <x:c r="A25" s="36" t="str">
        <x:v>CP2K-native pbc provider</x:v>
      </x:c>
      <x:c r="B25" s="36" t="str">
        <x:v>2</x:v>
      </x:c>
      <x:c r="C25" s="36" t="str">
        <x:v>XVII</x:v>
      </x:c>
      <x:c r="D25" s="42" t="str">
        <x:v>-51.558717497715</x:v>
      </x:c>
      <x:c r="E25" s="42" t="str">
        <x:v>1.750000</x:v>
      </x:c>
      <x:c r="F25" s="42" t="str">
        <x:v>-53.308717497715</x:v>
      </x:c>
      <x:c r="G25" s="42" t="str">
        <x:v>53.308717497715</x:v>
      </x:c>
      <x:c r="H25" s="36" t="str">
        <x:v>PASS</x:v>
      </x:c>
    </x:row>
    <x:row r="26" ht="15" hidden="0" customHeight="1">
      <x:c r="A26" s="36" t="str">
        <x:v>CP2K-native pbc provider</x:v>
      </x:c>
      <x:c r="B26" s="36" t="str">
        <x:v>3</x:v>
      </x:c>
      <x:c r="C26" s="36" t="str">
        <x:v>II</x:v>
      </x:c>
      <x:c r="D26" s="42" t="str">
        <x:v>-9.052122321210</x:v>
      </x:c>
      <x:c r="E26" s="42" t="str">
        <x:v>0.310000</x:v>
      </x:c>
      <x:c r="F26" s="42" t="str">
        <x:v>-9.362122321210</x:v>
      </x:c>
      <x:c r="G26" s="42" t="str">
        <x:v>9.362122321210</x:v>
      </x:c>
      <x:c r="H26" s="36" t="str">
        <x:v>PASS</x:v>
      </x:c>
    </x:row>
    <x:row r="27" ht="15" hidden="0" customHeight="1">
      <x:c r="A27" s="36" t="str">
        <x:v>CP2K-native pbc provider</x:v>
      </x:c>
      <x:c r="B27" s="36" t="str">
        <x:v>3</x:v>
      </x:c>
      <x:c r="C27" s="36" t="str">
        <x:v>III</x:v>
      </x:c>
      <x:c r="D27" s="42" t="str">
        <x:v>-2.299610990511</x:v>
      </x:c>
      <x:c r="E27" s="42" t="str">
        <x:v>1.250000</x:v>
      </x:c>
      <x:c r="F27" s="42" t="str">
        <x:v>-3.549610990511</x:v>
      </x:c>
      <x:c r="G27" s="42" t="str">
        <x:v>3.549610990511</x:v>
      </x:c>
      <x:c r="H27" s="36" t="str">
        <x:v>PASS</x:v>
      </x:c>
    </x:row>
    <x:row r="28" ht="15" hidden="0" customHeight="1">
      <x:c r="A28" s="36" t="str">
        <x:v>CP2K-native pbc provider</x:v>
      </x:c>
      <x:c r="B28" s="36" t="str">
        <x:v>3</x:v>
      </x:c>
      <x:c r="C28" s="36" t="str">
        <x:v>IV</x:v>
      </x:c>
      <x:c r="D28" s="42" t="str">
        <x:v>2.904346265887</x:v>
      </x:c>
      <x:c r="E28" s="42" t="str">
        <x:v>3.830000</x:v>
      </x:c>
      <x:c r="F28" s="42" t="str">
        <x:v>-0.925653734113</x:v>
      </x:c>
      <x:c r="G28" s="42" t="str">
        <x:v>0.925653734113</x:v>
      </x:c>
      <x:c r="H28" s="36" t="str">
        <x:v>PASS</x:v>
      </x:c>
    </x:row>
    <x:row r="29" ht="15" hidden="0" customHeight="1">
      <x:c r="A29" s="36" t="str">
        <x:v>CP2K-native pbc provider</x:v>
      </x:c>
      <x:c r="B29" s="36" t="str">
        <x:v>3</x:v>
      </x:c>
      <x:c r="C29" s="36" t="str">
        <x:v>VI</x:v>
      </x:c>
      <x:c r="D29" s="42" t="str">
        <x:v>-12.321024967755</x:v>
      </x:c>
      <x:c r="E29" s="42" t="str">
        <x:v>1.780000</x:v>
      </x:c>
      <x:c r="F29" s="42" t="str">
        <x:v>-14.101024967755</x:v>
      </x:c>
      <x:c r="G29" s="42" t="str">
        <x:v>14.101024967755</x:v>
      </x:c>
      <x:c r="H29" s="36" t="str">
        <x:v>PASS</x:v>
      </x:c>
    </x:row>
    <x:row r="30" ht="15" hidden="0" customHeight="1">
      <x:c r="A30" s="36" t="str">
        <x:v>CP2K-native pbc provider</x:v>
      </x:c>
      <x:c r="B30" s="36" t="str">
        <x:v>3</x:v>
      </x:c>
      <x:c r="C30" s="36" t="str">
        <x:v>VII</x:v>
      </x:c>
      <x:c r="D30" s="42" t="str">
        <x:v>-153.898146955623</x:v>
      </x:c>
      <x:c r="E30" s="42" t="str">
        <x:v>4.990000</x:v>
      </x:c>
      <x:c r="F30" s="42" t="str">
        <x:v>-158.888146955623</x:v>
      </x:c>
      <x:c r="G30" s="42" t="str">
        <x:v>158.888146955623</x:v>
      </x:c>
      <x:c r="H30" s="36" t="str">
        <x:v>PASS</x:v>
      </x:c>
    </x:row>
    <x:row r="31" ht="15" hidden="0" customHeight="1">
      <x:c r="A31" s="36" t="str">
        <x:v>CP2K-native pbc provider</x:v>
      </x:c>
      <x:c r="B31" s="36" t="str">
        <x:v>3</x:v>
      </x:c>
      <x:c r="C31" s="36" t="str">
        <x:v>VIII</x:v>
      </x:c>
      <x:c r="D31" s="42" t="str">
        <x:v>-38.486259267871</x:v>
      </x:c>
      <x:c r="E31" s="42" t="str">
        <x:v>4.230000</x:v>
      </x:c>
      <x:c r="F31" s="42" t="str">
        <x:v>-42.716259267871</x:v>
      </x:c>
      <x:c r="G31" s="42" t="str">
        <x:v>42.716259267871</x:v>
      </x:c>
      <x:c r="H31" s="36" t="str">
        <x:v>PASS</x:v>
      </x:c>
    </x:row>
    <x:row r="32" ht="15" hidden="0" customHeight="1">
      <x:c r="A32" s="36" t="str">
        <x:v>CP2K-native pbc provider</x:v>
      </x:c>
      <x:c r="B32" s="36" t="str">
        <x:v>3</x:v>
      </x:c>
      <x:c r="C32" s="36" t="str">
        <x:v>IX</x:v>
      </x:c>
      <x:c r="D32" s="42" t="str">
        <x:v>-2.460998734167</x:v>
      </x:c>
      <x:c r="E32" s="42" t="str">
        <x:v>0.600000</x:v>
      </x:c>
      <x:c r="F32" s="42" t="str">
        <x:v>-3.060998734167</x:v>
      </x:c>
      <x:c r="G32" s="42" t="str">
        <x:v>3.060998734167</x:v>
      </x:c>
      <x:c r="H32" s="36" t="str">
        <x:v>PASS</x:v>
      </x:c>
    </x:row>
    <x:row r="33" ht="15" hidden="0" customHeight="1">
      <x:c r="A33" s="36" t="str">
        <x:v>CP2K-native pbc provider</x:v>
      </x:c>
      <x:c r="B33" s="36" t="str">
        <x:v>3</x:v>
      </x:c>
      <x:c r="C33" s="36" t="str">
        <x:v>XI</x:v>
      </x:c>
      <x:c r="D33" s="42" t="str">
        <x:v>-62.523168276147</x:v>
      </x:c>
      <x:c r="E33" s="42" t="str">
        <x:v>0.160000</x:v>
      </x:c>
      <x:c r="F33" s="42" t="str">
        <x:v>-62.683168276147</x:v>
      </x:c>
      <x:c r="G33" s="42" t="str">
        <x:v>62.683168276147</x:v>
      </x:c>
      <x:c r="H33" s="36" t="str">
        <x:v>PASS</x:v>
      </x:c>
    </x:row>
    <x:row r="34" ht="15" hidden="0" customHeight="1">
      <x:c r="A34" s="36" t="str">
        <x:v>CP2K-native pbc provider</x:v>
      </x:c>
      <x:c r="B34" s="36" t="str">
        <x:v>3</x:v>
      </x:c>
      <x:c r="C34" s="36" t="str">
        <x:v>XIII</x:v>
      </x:c>
      <x:c r="D34" s="42" t="str">
        <x:v>0.926729513961</x:v>
      </x:c>
      <x:c r="E34" s="42" t="str">
        <x:v>2.120000</x:v>
      </x:c>
      <x:c r="F34" s="42" t="str">
        <x:v>-1.193270486039</x:v>
      </x:c>
      <x:c r="G34" s="42" t="str">
        <x:v>1.193270486039</x:v>
      </x:c>
      <x:c r="H34" s="36" t="str">
        <x:v>PASS</x:v>
      </x:c>
    </x:row>
    <x:row r="35" ht="15" hidden="0" customHeight="1">
      <x:c r="A35" s="36" t="str">
        <x:v>CP2K-native pbc provider</x:v>
      </x:c>
      <x:c r="B35" s="36" t="str">
        <x:v>3</x:v>
      </x:c>
      <x:c r="C35" s="36" t="str">
        <x:v>XIV</x:v>
      </x:c>
      <x:c r="D35" s="42" t="str">
        <x:v>-83.899711714503</x:v>
      </x:c>
      <x:c r="E35" s="42" t="str">
        <x:v>1.700000</x:v>
      </x:c>
      <x:c r="F35" s="42" t="str">
        <x:v>-85.599711714503</x:v>
      </x:c>
      <x:c r="G35" s="42" t="str">
        <x:v>85.599711714503</x:v>
      </x:c>
      <x:c r="H35" s="36" t="str">
        <x:v>PASS</x:v>
      </x:c>
    </x:row>
    <x:row r="36" ht="15" hidden="0" customHeight="1">
      <x:c r="A36" s="36" t="str">
        <x:v>CP2K-native pbc provider</x:v>
      </x:c>
      <x:c r="B36" s="36" t="str">
        <x:v>3</x:v>
      </x:c>
      <x:c r="C36" s="36" t="str">
        <x:v>XV</x:v>
      </x:c>
      <x:c r="D36" s="42" t="str">
        <x:v>-12.545496741036</x:v>
      </x:c>
      <x:c r="E36" s="42" t="str">
        <x:v>1.740000</x:v>
      </x:c>
      <x:c r="F36" s="42" t="str">
        <x:v>-14.285496741036</x:v>
      </x:c>
      <x:c r="G36" s="42" t="str">
        <x:v>14.285496741036</x:v>
      </x:c>
      <x:c r="H36" s="36" t="str">
        <x:v>PASS</x:v>
      </x:c>
    </x:row>
    <x:row r="37" ht="15" hidden="0" customHeight="1">
      <x:c r="A37" s="36" t="str">
        <x:v>CP2K-native pbc provider</x:v>
      </x:c>
      <x:c r="B37" s="36" t="str">
        <x:v>3</x:v>
      </x:c>
      <x:c r="C37" s="36" t="str">
        <x:v>XVII</x:v>
      </x:c>
      <x:c r="D37" s="42" t="str">
        <x:v>-10.466385740566</x:v>
      </x:c>
      <x:c r="E37" s="42" t="str">
        <x:v>1.750000</x:v>
      </x:c>
      <x:c r="F37" s="42" t="str">
        <x:v>-12.216385740566</x:v>
      </x:c>
      <x:c r="G37" s="42" t="str">
        <x:v>12.216385740566</x:v>
      </x:c>
      <x:c r="H37" s="36" t="str">
        <x:v>PASS</x:v>
      </x:c>
    </x:row>
    <x:row r="38" ht="15" hidden="0" customHeight="1">
      <x:c r="A38" s="36" t="str">
        <x:v>CP2K-native pbc provider</x:v>
      </x:c>
      <x:c r="B38" s="36" t="str">
        <x:v>4</x:v>
      </x:c>
      <x:c r="C38" s="36" t="str">
        <x:v>II</x:v>
      </x:c>
      <x:c r="D38" s="42" t="str">
        <x:v>-2.513144332386</x:v>
      </x:c>
      <x:c r="E38" s="42" t="str">
        <x:v>0.310000</x:v>
      </x:c>
      <x:c r="F38" s="42" t="str">
        <x:v>-2.823144332386</x:v>
      </x:c>
      <x:c r="G38" s="42" t="str">
        <x:v>2.823144332386</x:v>
      </x:c>
      <x:c r="H38" s="36" t="str">
        <x:v>PASS</x:v>
      </x:c>
    </x:row>
    <x:row r="39" ht="15" hidden="0" customHeight="1">
      <x:c r="A39" s="36" t="str">
        <x:v>CP2K-native pbc provider</x:v>
      </x:c>
      <x:c r="B39" s="36" t="str">
        <x:v>4</x:v>
      </x:c>
      <x:c r="C39" s="36" t="str">
        <x:v>III</x:v>
      </x:c>
      <x:c r="D39" s="42" t="str">
        <x:v>1.264036142972</x:v>
      </x:c>
      <x:c r="E39" s="42" t="str">
        <x:v>1.250000</x:v>
      </x:c>
      <x:c r="F39" s="42" t="str">
        <x:v>0.014036142972</x:v>
      </x:c>
      <x:c r="G39" s="42" t="str">
        <x:v>0.014036142972</x:v>
      </x:c>
      <x:c r="H39" s="36" t="str">
        <x:v>PASS</x:v>
      </x:c>
    </x:row>
    <x:row r="40" ht="15" hidden="0" customHeight="1">
      <x:c r="A40" s="36" t="str">
        <x:v>CP2K-native pbc provider</x:v>
      </x:c>
      <x:c r="B40" s="36" t="str">
        <x:v>4</x:v>
      </x:c>
      <x:c r="C40" s="36" t="str">
        <x:v>IV</x:v>
      </x:c>
      <x:c r="D40" s="42" t="str">
        <x:v>1.405718427516</x:v>
      </x:c>
      <x:c r="E40" s="42" t="str">
        <x:v>3.830000</x:v>
      </x:c>
      <x:c r="F40" s="42" t="str">
        <x:v>-2.424281572484</x:v>
      </x:c>
      <x:c r="G40" s="42" t="str">
        <x:v>2.424281572484</x:v>
      </x:c>
      <x:c r="H40" s="36" t="str">
        <x:v>PASS</x:v>
      </x:c>
    </x:row>
    <x:row r="41" ht="15" hidden="0" customHeight="1">
      <x:c r="A41" s="36" t="str">
        <x:v>CP2K-native pbc provider</x:v>
      </x:c>
      <x:c r="B41" s="36" t="str">
        <x:v>4</x:v>
      </x:c>
      <x:c r="C41" s="36" t="str">
        <x:v>VI</x:v>
      </x:c>
      <x:c r="D41" s="42" t="str">
        <x:v>-1.048055217778</x:v>
      </x:c>
      <x:c r="E41" s="42" t="str">
        <x:v>1.780000</x:v>
      </x:c>
      <x:c r="F41" s="42" t="str">
        <x:v>-2.828055217778</x:v>
      </x:c>
      <x:c r="G41" s="42" t="str">
        <x:v>2.828055217778</x:v>
      </x:c>
      <x:c r="H41" s="36" t="str">
        <x:v>PASS</x:v>
      </x:c>
    </x:row>
    <x:row r="42" ht="15" hidden="0" customHeight="1">
      <x:c r="A42" s="36" t="str">
        <x:v>CP2K-native pbc provider</x:v>
      </x:c>
      <x:c r="B42" s="36" t="str">
        <x:v>4</x:v>
      </x:c>
      <x:c r="C42" s="36" t="str">
        <x:v>VII</x:v>
      </x:c>
      <x:c r="D42" s="42" t="str">
        <x:v>-63.955253819072</x:v>
      </x:c>
      <x:c r="E42" s="42" t="str">
        <x:v>4.990000</x:v>
      </x:c>
      <x:c r="F42" s="42" t="str">
        <x:v>-68.945253819072</x:v>
      </x:c>
      <x:c r="G42" s="42" t="str">
        <x:v>68.945253819072</x:v>
      </x:c>
      <x:c r="H42" s="36" t="str">
        <x:v>PASS</x:v>
      </x:c>
    </x:row>
    <x:row r="43" ht="15" hidden="0" customHeight="1">
      <x:c r="A43" s="36" t="str">
        <x:v>CP2K-native pbc provider</x:v>
      </x:c>
      <x:c r="B43" s="36" t="str">
        <x:v>4</x:v>
      </x:c>
      <x:c r="C43" s="36" t="str">
        <x:v>VIII</x:v>
      </x:c>
      <x:c r="D43" s="42" t="str">
        <x:v>-6.163477349517</x:v>
      </x:c>
      <x:c r="E43" s="42" t="str">
        <x:v>4.230000</x:v>
      </x:c>
      <x:c r="F43" s="42" t="str">
        <x:v>-10.393477349517</x:v>
      </x:c>
      <x:c r="G43" s="42" t="str">
        <x:v>10.393477349517</x:v>
      </x:c>
      <x:c r="H43" s="36" t="str">
        <x:v>PASS</x:v>
      </x:c>
    </x:row>
    <x:row r="44" ht="15" hidden="0" customHeight="1">
      <x:c r="A44" s="36" t="str">
        <x:v>CP2K-native pbc provider</x:v>
      </x:c>
      <x:c r="B44" s="36" t="str">
        <x:v>4</x:v>
      </x:c>
      <x:c r="C44" s="36" t="str">
        <x:v>IX</x:v>
      </x:c>
      <x:c r="D44" s="42" t="str">
        <x:v>-0.372870780640</x:v>
      </x:c>
      <x:c r="E44" s="42" t="str">
        <x:v>0.600000</x:v>
      </x:c>
      <x:c r="F44" s="42" t="str">
        <x:v>-0.972870780640</x:v>
      </x:c>
      <x:c r="G44" s="42" t="str">
        <x:v>0.972870780640</x:v>
      </x:c>
      <x:c r="H44" s="36" t="str">
        <x:v>PASS</x:v>
      </x:c>
    </x:row>
    <x:row r="45" ht="15" hidden="0" customHeight="1">
      <x:c r="A45" s="36" t="str">
        <x:v>CP2K-native pbc provider</x:v>
      </x:c>
      <x:c r="B45" s="36" t="str">
        <x:v>4</x:v>
      </x:c>
      <x:c r="C45" s="36" t="str">
        <x:v>XI</x:v>
      </x:c>
      <x:c r="D45" s="42" t="str">
        <x:v>-14.875006645914</x:v>
      </x:c>
      <x:c r="E45" s="42" t="str">
        <x:v>0.160000</x:v>
      </x:c>
      <x:c r="F45" s="42" t="str">
        <x:v>-15.035006645914</x:v>
      </x:c>
      <x:c r="G45" s="42" t="str">
        <x:v>15.035006645914</x:v>
      </x:c>
      <x:c r="H45" s="36" t="str">
        <x:v>PASS</x:v>
      </x:c>
    </x:row>
    <x:row r="46" ht="15" hidden="0" customHeight="1">
      <x:c r="A46" s="36" t="str">
        <x:v>CP2K-native pbc provider</x:v>
      </x:c>
      <x:c r="B46" s="36" t="str">
        <x:v>4</x:v>
      </x:c>
      <x:c r="C46" s="36" t="str">
        <x:v>XIII</x:v>
      </x:c>
      <x:c r="D46" s="42" t="str">
        <x:v>0.123067620531</x:v>
      </x:c>
      <x:c r="E46" s="42" t="str">
        <x:v>2.120000</x:v>
      </x:c>
      <x:c r="F46" s="42" t="str">
        <x:v>-1.996932379469</x:v>
      </x:c>
      <x:c r="G46" s="42" t="str">
        <x:v>1.996932379469</x:v>
      </x:c>
      <x:c r="H46" s="36" t="str">
        <x:v>PASS</x:v>
      </x:c>
    </x:row>
    <x:row r="47" ht="15" hidden="0" customHeight="1">
      <x:c r="A47" s="36" t="str">
        <x:v>CP2K-native pbc provider</x:v>
      </x:c>
      <x:c r="B47" s="36" t="str">
        <x:v>4</x:v>
      </x:c>
      <x:c r="C47" s="36" t="str">
        <x:v>XIV</x:v>
      </x:c>
      <x:c r="D47" s="42" t="str">
        <x:v>-23.938100045934</x:v>
      </x:c>
      <x:c r="E47" s="42" t="str">
        <x:v>1.700000</x:v>
      </x:c>
      <x:c r="F47" s="42" t="str">
        <x:v>-25.638100045934</x:v>
      </x:c>
      <x:c r="G47" s="42" t="str">
        <x:v>25.638100045934</x:v>
      </x:c>
      <x:c r="H47" s="36" t="str">
        <x:v>PASS</x:v>
      </x:c>
    </x:row>
    <x:row r="48" ht="15" hidden="0" customHeight="1">
      <x:c r="A48" s="36" t="str">
        <x:v>CP2K-native pbc provider</x:v>
      </x:c>
      <x:c r="B48" s="36" t="str">
        <x:v>4</x:v>
      </x:c>
      <x:c r="C48" s="36" t="str">
        <x:v>XV</x:v>
      </x:c>
      <x:c r="D48" s="42" t="str">
        <x:v>-1.097387628033</x:v>
      </x:c>
      <x:c r="E48" s="42" t="str">
        <x:v>1.740000</x:v>
      </x:c>
      <x:c r="F48" s="42" t="str">
        <x:v>-2.837387628033</x:v>
      </x:c>
      <x:c r="G48" s="42" t="str">
        <x:v>2.837387628033</x:v>
      </x:c>
      <x:c r="H48" s="36" t="str">
        <x:v>PASS</x:v>
      </x:c>
    </x:row>
    <x:row r="49" ht="15" hidden="0" customHeight="1">
      <x:c r="A49" s="36" t="str">
        <x:v>CP2K-native pbc provider</x:v>
      </x:c>
      <x:c r="B49" s="36" t="str">
        <x:v>4</x:v>
      </x:c>
      <x:c r="C49" s="36" t="str">
        <x:v>XVII</x:v>
      </x:c>
      <x:c r="D49" s="42" t="str">
        <x:v>-0.727224094238</x:v>
      </x:c>
      <x:c r="E49" s="42" t="str">
        <x:v>1.750000</x:v>
      </x:c>
      <x:c r="F49" s="42" t="str">
        <x:v>-2.477224094238</x:v>
      </x:c>
      <x:c r="G49" s="42" t="str">
        <x:v>2.477224094238</x:v>
      </x:c>
      <x:c r="H49" s="36" t="str">
        <x:v>PASS</x:v>
      </x:c>
    </x:row>
    <x:row r="50" ht="15" hidden="0" customHeight="1">
      <x:c r="A50" s="36" t="str">
        <x:v>CP2K-native pbc provider</x:v>
      </x:c>
      <x:c r="B50" s="36" t="str">
        <x:v>5</x:v>
      </x:c>
      <x:c r="C50" s="36" t="str">
        <x:v>II</x:v>
      </x:c>
      <x:c r="D50" s="42" t="str">
        <x:v>-1.751209197801</x:v>
      </x:c>
      <x:c r="E50" s="42" t="str">
        <x:v>0.310000</x:v>
      </x:c>
      <x:c r="F50" s="42" t="str">
        <x:v>-2.061209197801</x:v>
      </x:c>
      <x:c r="G50" s="42" t="str">
        <x:v>2.061209197801</x:v>
      </x:c>
      <x:c r="H50" s="36" t="str">
        <x:v>PASS</x:v>
      </x:c>
    </x:row>
    <x:row r="51" ht="15" hidden="0" customHeight="1">
      <x:c r="A51" s="36" t="str">
        <x:v>CP2K-native pbc provider</x:v>
      </x:c>
      <x:c r="B51" s="36" t="str">
        <x:v>5</x:v>
      </x:c>
      <x:c r="C51" s="36" t="str">
        <x:v>III</x:v>
      </x:c>
      <x:c r="D51" s="42" t="str">
        <x:v>1.637489090846</x:v>
      </x:c>
      <x:c r="E51" s="42" t="str">
        <x:v>1.250000</x:v>
      </x:c>
      <x:c r="F51" s="42" t="str">
        <x:v>0.387489090846</x:v>
      </x:c>
      <x:c r="G51" s="42" t="str">
        <x:v>0.387489090846</x:v>
      </x:c>
      <x:c r="H51" s="36" t="str">
        <x:v>PASS</x:v>
      </x:c>
    </x:row>
    <x:row r="52" ht="15" hidden="0" customHeight="1">
      <x:c r="A52" s="36" t="str">
        <x:v>CP2K-native pbc provider</x:v>
      </x:c>
      <x:c r="B52" s="36" t="str">
        <x:v>5</x:v>
      </x:c>
      <x:c r="C52" s="36" t="str">
        <x:v>IV</x:v>
      </x:c>
      <x:c r="D52" s="42" t="str">
        <x:v>1.286795887227</x:v>
      </x:c>
      <x:c r="E52" s="42" t="str">
        <x:v>3.830000</x:v>
      </x:c>
      <x:c r="F52" s="42" t="str">
        <x:v>-2.543204112773</x:v>
      </x:c>
      <x:c r="G52" s="42" t="str">
        <x:v>2.543204112773</x:v>
      </x:c>
      <x:c r="H52" s="36" t="str">
        <x:v>PASS</x:v>
      </x:c>
    </x:row>
    <x:row r="53" ht="15" hidden="0" customHeight="1">
      <x:c r="A53" s="36" t="str">
        <x:v>CP2K-native pbc provider</x:v>
      </x:c>
      <x:c r="B53" s="36" t="str">
        <x:v>5</x:v>
      </x:c>
      <x:c r="C53" s="36" t="str">
        <x:v>VI</x:v>
      </x:c>
      <x:c r="D53" s="42" t="str">
        <x:v>0.455318480049</x:v>
      </x:c>
      <x:c r="E53" s="42" t="str">
        <x:v>1.780000</x:v>
      </x:c>
      <x:c r="F53" s="42" t="str">
        <x:v>-1.324681519951</x:v>
      </x:c>
      <x:c r="G53" s="42" t="str">
        <x:v>1.324681519951</x:v>
      </x:c>
      <x:c r="H53" s="36" t="str">
        <x:v>PASS</x:v>
      </x:c>
    </x:row>
    <x:row r="54" ht="15" hidden="0" customHeight="1">
      <x:c r="A54" s="36" t="str">
        <x:v>CP2K-native pbc provider</x:v>
      </x:c>
      <x:c r="B54" s="36" t="str">
        <x:v>5</x:v>
      </x:c>
      <x:c r="C54" s="36" t="str">
        <x:v>VII</x:v>
      </x:c>
      <x:c r="D54" s="42" t="str">
        <x:v>-21.860960292900</x:v>
      </x:c>
      <x:c r="E54" s="42" t="str">
        <x:v>4.990000</x:v>
      </x:c>
      <x:c r="F54" s="42" t="str">
        <x:v>-26.850960292900</x:v>
      </x:c>
      <x:c r="G54" s="42" t="str">
        <x:v>26.850960292900</x:v>
      </x:c>
      <x:c r="H54" s="36" t="str">
        <x:v>PASS</x:v>
      </x:c>
    </x:row>
    <x:row r="55" ht="15" hidden="0" customHeight="1">
      <x:c r="A55" s="36" t="str">
        <x:v>CP2K-native pbc provider</x:v>
      </x:c>
      <x:c r="B55" s="36" t="str">
        <x:v>5</x:v>
      </x:c>
      <x:c r="C55" s="36" t="str">
        <x:v>VIII</x:v>
      </x:c>
      <x:c r="D55" s="42" t="str">
        <x:v>0.489976040174</x:v>
      </x:c>
      <x:c r="E55" s="42" t="str">
        <x:v>4.230000</x:v>
      </x:c>
      <x:c r="F55" s="42" t="str">
        <x:v>-3.740023959826</x:v>
      </x:c>
      <x:c r="G55" s="42" t="str">
        <x:v>3.740023959826</x:v>
      </x:c>
      <x:c r="H55" s="36" t="str">
        <x:v>PASS</x:v>
      </x:c>
    </x:row>
    <x:row r="56" ht="15" hidden="0" customHeight="1">
      <x:c r="A56" s="36" t="str">
        <x:v>CP2K-native pbc provider</x:v>
      </x:c>
      <x:c r="B56" s="36" t="str">
        <x:v>5</x:v>
      </x:c>
      <x:c r="C56" s="36" t="str">
        <x:v>IX</x:v>
      </x:c>
      <x:c r="D56" s="42" t="str">
        <x:v>-0.167194869264</x:v>
      </x:c>
      <x:c r="E56" s="42" t="str">
        <x:v>0.600000</x:v>
      </x:c>
      <x:c r="F56" s="42" t="str">
        <x:v>-0.767194869264</x:v>
      </x:c>
      <x:c r="G56" s="42" t="str">
        <x:v>0.767194869264</x:v>
      </x:c>
      <x:c r="H56" s="36" t="str">
        <x:v>PASS</x:v>
      </x:c>
    </x:row>
    <x:row r="57" ht="15" hidden="0" customHeight="1">
      <x:c r="A57" s="36" t="str">
        <x:v>CP2K-native pbc provider</x:v>
      </x:c>
      <x:c r="B57" s="36" t="str">
        <x:v>5</x:v>
      </x:c>
      <x:c r="C57" s="36" t="str">
        <x:v>XI</x:v>
      </x:c>
      <x:c r="D57" s="42" t="str">
        <x:v>-2.561509806027</x:v>
      </x:c>
      <x:c r="E57" s="42" t="str">
        <x:v>0.160000</x:v>
      </x:c>
      <x:c r="F57" s="42" t="str">
        <x:v>-2.721509806027</x:v>
      </x:c>
      <x:c r="G57" s="42" t="str">
        <x:v>2.721509806027</x:v>
      </x:c>
      <x:c r="H57" s="36" t="str">
        <x:v>PASS</x:v>
      </x:c>
    </x:row>
    <x:row r="58" ht="15" hidden="0" customHeight="1">
      <x:c r="A58" s="36" t="str">
        <x:v>CP2K-native pbc provider</x:v>
      </x:c>
      <x:c r="B58" s="36" t="str">
        <x:v>5</x:v>
      </x:c>
      <x:c r="C58" s="36" t="str">
        <x:v>XIII</x:v>
      </x:c>
      <x:c r="D58" s="42" t="str">
        <x:v>0.056163127084</x:v>
      </x:c>
      <x:c r="E58" s="42" t="str">
        <x:v>2.120000</x:v>
      </x:c>
      <x:c r="F58" s="42" t="str">
        <x:v>-2.063836872916</x:v>
      </x:c>
      <x:c r="G58" s="42" t="str">
        <x:v>2.063836872916</x:v>
      </x:c>
      <x:c r="H58" s="36" t="str">
        <x:v>PASS</x:v>
      </x:c>
    </x:row>
    <x:row r="59" ht="15" hidden="0" customHeight="1">
      <x:c r="A59" s="36" t="str">
        <x:v>CP2K-native pbc provider</x:v>
      </x:c>
      <x:c r="B59" s="36" t="str">
        <x:v>5</x:v>
      </x:c>
      <x:c r="C59" s="36" t="str">
        <x:v>XIV</x:v>
      </x:c>
      <x:c r="D59" s="42" t="str">
        <x:v>-5.462219419517</x:v>
      </x:c>
      <x:c r="E59" s="42" t="str">
        <x:v>1.700000</x:v>
      </x:c>
      <x:c r="F59" s="42" t="str">
        <x:v>-7.162219419517</x:v>
      </x:c>
      <x:c r="G59" s="42" t="str">
        <x:v>7.162219419517</x:v>
      </x:c>
      <x:c r="H59" s="36" t="str">
        <x:v>PASS</x:v>
      </x:c>
    </x:row>
    <x:row r="60" ht="15" hidden="0" customHeight="1">
      <x:c r="A60" s="36" t="str">
        <x:v>CP2K-native pbc provider</x:v>
      </x:c>
      <x:c r="B60" s="36" t="str">
        <x:v>5</x:v>
      </x:c>
      <x:c r="C60" s="36" t="str">
        <x:v>XV</x:v>
      </x:c>
      <x:c r="D60" s="42" t="str">
        <x:v>0.436613107080</x:v>
      </x:c>
      <x:c r="E60" s="42" t="str">
        <x:v>1.740000</x:v>
      </x:c>
      <x:c r="F60" s="42" t="str">
        <x:v>-1.303386892920</x:v>
      </x:c>
      <x:c r="G60" s="42" t="str">
        <x:v>1.303386892920</x:v>
      </x:c>
      <x:c r="H60" s="36" t="str">
        <x:v>PASS</x:v>
      </x:c>
    </x:row>
    <x:row r="61" ht="15" hidden="0" customHeight="1">
      <x:c r="A61" s="36" t="str">
        <x:v>CP2K-native pbc provider</x:v>
      </x:c>
      <x:c r="B61" s="36" t="str">
        <x:v>5</x:v>
      </x:c>
      <x:c r="C61" s="36" t="str">
        <x:v>XVII</x:v>
      </x:c>
      <x:c r="D61" s="42" t="str">
        <x:v>0.518654375510</x:v>
      </x:c>
      <x:c r="E61" s="42" t="str">
        <x:v>1.750000</x:v>
      </x:c>
      <x:c r="F61" s="42" t="str">
        <x:v>-1.231345624490</x:v>
      </x:c>
      <x:c r="G61" s="42" t="str">
        <x:v>1.231345624490</x:v>
      </x:c>
      <x:c r="H61" s="36" t="str">
        <x:v>PASS</x:v>
      </x:c>
    </x:row>
    <x:row r="62" ht="15" hidden="0" customHeight="1">
      <x:c r="A62" s="36" t="str">
        <x:v>CP2K-native pbc provider</x:v>
      </x:c>
      <x:c r="B62" s="36" t="str">
        <x:v>6</x:v>
      </x:c>
      <x:c r="C62" s="36" t="str">
        <x:v>II</x:v>
      </x:c>
      <x:c r="D62" s="42" t="str">
        <x:v>-1.673140435542</x:v>
      </x:c>
      <x:c r="E62" s="42" t="str">
        <x:v>0.310000</x:v>
      </x:c>
      <x:c r="F62" s="42" t="str">
        <x:v>-1.983140435542</x:v>
      </x:c>
      <x:c r="G62" s="42" t="str">
        <x:v>1.983140435542</x:v>
      </x:c>
      <x:c r="H62" s="36" t="str">
        <x:v>PASS</x:v>
      </x:c>
    </x:row>
    <x:row r="63" ht="15" hidden="0" customHeight="1">
      <x:c r="A63" s="36" t="str">
        <x:v>CP2K-native pbc provider</x:v>
      </x:c>
      <x:c r="B63" s="36" t="str">
        <x:v>6</x:v>
      </x:c>
      <x:c r="C63" s="36" t="str">
        <x:v>III</x:v>
      </x:c>
      <x:c r="D63" s="42" t="str">
        <x:v>1.672165228326</x:v>
      </x:c>
      <x:c r="E63" s="42" t="str">
        <x:v>1.250000</x:v>
      </x:c>
      <x:c r="F63" s="42" t="str">
        <x:v>0.422165228326</x:v>
      </x:c>
      <x:c r="G63" s="42" t="str">
        <x:v>0.422165228326</x:v>
      </x:c>
      <x:c r="H63" s="36" t="str">
        <x:v>PASS</x:v>
      </x:c>
    </x:row>
    <x:row r="64" ht="15" hidden="0" customHeight="1">
      <x:c r="A64" s="36" t="str">
        <x:v>CP2K-native pbc provider</x:v>
      </x:c>
      <x:c r="B64" s="36" t="str">
        <x:v>6</x:v>
      </x:c>
      <x:c r="C64" s="36" t="str">
        <x:v>IV</x:v>
      </x:c>
      <x:c r="D64" s="42" t="str">
        <x:v>1.278275951726</x:v>
      </x:c>
      <x:c r="E64" s="42" t="str">
        <x:v>3.830000</x:v>
      </x:c>
      <x:c r="F64" s="42" t="str">
        <x:v>-2.551724048274</x:v>
      </x:c>
      <x:c r="G64" s="42" t="str">
        <x:v>2.551724048274</x:v>
      </x:c>
      <x:c r="H64" s="36" t="str">
        <x:v>PASS</x:v>
      </x:c>
    </x:row>
    <x:row r="65" ht="15" hidden="0" customHeight="1">
      <x:c r="A65" s="36" t="str">
        <x:v>CP2K-native pbc provider</x:v>
      </x:c>
      <x:c r="B65" s="36" t="str">
        <x:v>6</x:v>
      </x:c>
      <x:c r="C65" s="36" t="str">
        <x:v>VI</x:v>
      </x:c>
      <x:c r="D65" s="42" t="str">
        <x:v>0.630350366028</x:v>
      </x:c>
      <x:c r="E65" s="42" t="str">
        <x:v>1.780000</x:v>
      </x:c>
      <x:c r="F65" s="42" t="str">
        <x:v>-1.149649633972</x:v>
      </x:c>
      <x:c r="G65" s="42" t="str">
        <x:v>1.149649633972</x:v>
      </x:c>
      <x:c r="H65" s="36" t="str">
        <x:v>PASS</x:v>
      </x:c>
    </x:row>
    <x:row r="66" ht="15" hidden="0" customHeight="1">
      <x:c r="A66" s="36" t="str">
        <x:v>CP2K-native pbc provider</x:v>
      </x:c>
      <x:c r="B66" s="36" t="str">
        <x:v>6</x:v>
      </x:c>
      <x:c r="C66" s="36" t="str">
        <x:v>VII</x:v>
      </x:c>
      <x:c r="D66" s="42" t="str">
        <x:v>-6.584448779061</x:v>
      </x:c>
      <x:c r="E66" s="42" t="str">
        <x:v>4.990000</x:v>
      </x:c>
      <x:c r="F66" s="42" t="str">
        <x:v>-11.574448779061</x:v>
      </x:c>
      <x:c r="G66" s="42" t="str">
        <x:v>11.574448779061</x:v>
      </x:c>
      <x:c r="H66" s="36" t="str">
        <x:v>PASS</x:v>
      </x:c>
    </x:row>
    <x:row r="67" ht="15" hidden="0" customHeight="1">
      <x:c r="A67" s="36" t="str">
        <x:v>CP2K-native pbc provider</x:v>
      </x:c>
      <x:c r="B67" s="36" t="str">
        <x:v>6</x:v>
      </x:c>
      <x:c r="C67" s="36" t="str">
        <x:v>VIII</x:v>
      </x:c>
      <x:c r="D67" s="42" t="str">
        <x:v>1.605099765336</x:v>
      </x:c>
      <x:c r="E67" s="42" t="str">
        <x:v>4.230000</x:v>
      </x:c>
      <x:c r="F67" s="42" t="str">
        <x:v>-2.624900234664</x:v>
      </x:c>
      <x:c r="G67" s="42" t="str">
        <x:v>2.624900234664</x:v>
      </x:c>
      <x:c r="H67" s="36" t="str">
        <x:v>PASS</x:v>
      </x:c>
    </x:row>
    <x:row r="68" ht="15" hidden="0" customHeight="1">
      <x:c r="A68" s="36" t="str">
        <x:v>CP2K-native pbc provider</x:v>
      </x:c>
      <x:c r="B68" s="36" t="str">
        <x:v>6</x:v>
      </x:c>
      <x:c r="C68" s="36" t="str">
        <x:v>IX</x:v>
      </x:c>
      <x:c r="D68" s="42" t="str">
        <x:v>-0.149213410206</x:v>
      </x:c>
      <x:c r="E68" s="42" t="str">
        <x:v>0.600000</x:v>
      </x:c>
      <x:c r="F68" s="42" t="str">
        <x:v>-0.749213410206</x:v>
      </x:c>
      <x:c r="G68" s="42" t="str">
        <x:v>0.749213410206</x:v>
      </x:c>
      <x:c r="H68" s="36" t="str">
        <x:v>PASS</x:v>
      </x:c>
    </x:row>
    <x:row r="69" ht="15" hidden="0" customHeight="1">
      <x:c r="A69" s="36" t="str">
        <x:v>CP2K-native pbc provider</x:v>
      </x:c>
      <x:c r="B69" s="36" t="str">
        <x:v>6</x:v>
      </x:c>
      <x:c r="C69" s="36" t="str">
        <x:v>XI</x:v>
      </x:c>
      <x:c r="D69" s="42" t="str">
        <x:v>-0.054671152098</x:v>
      </x:c>
      <x:c r="E69" s="42" t="str">
        <x:v>0.160000</x:v>
      </x:c>
      <x:c r="F69" s="42" t="str">
        <x:v>-0.214671152098</x:v>
      </x:c>
      <x:c r="G69" s="42" t="str">
        <x:v>0.214671152098</x:v>
      </x:c>
      <x:c r="H69" s="36" t="str">
        <x:v>PASS</x:v>
      </x:c>
    </x:row>
    <x:row r="70" ht="15" hidden="0" customHeight="1">
      <x:c r="A70" s="36" t="str">
        <x:v>CP2K-native pbc provider</x:v>
      </x:c>
      <x:c r="B70" s="36" t="str">
        <x:v>6</x:v>
      </x:c>
      <x:c r="C70" s="36" t="str">
        <x:v>XIV</x:v>
      </x:c>
      <x:c r="D70" s="42" t="str">
        <x:v>-1.064873294721</x:v>
      </x:c>
      <x:c r="E70" s="42" t="str">
        <x:v>1.700000</x:v>
      </x:c>
      <x:c r="F70" s="42" t="str">
        <x:v>-2.764873294721</x:v>
      </x:c>
      <x:c r="G70" s="42" t="str">
        <x:v>2.764873294721</x:v>
      </x:c>
      <x:c r="H70" s="36" t="str">
        <x:v>PASS</x:v>
      </x:c>
    </x:row>
    <x:row r="71" ht="15" hidden="0" customHeight="1">
      <x:c r="A71" s="36" t="str">
        <x:v>CP2K-native pbc provider</x:v>
      </x:c>
      <x:c r="B71" s="36" t="str">
        <x:v>6</x:v>
      </x:c>
      <x:c r="C71" s="36" t="str">
        <x:v>XV</x:v>
      </x:c>
      <x:c r="D71" s="42" t="str">
        <x:v>0.615966711167</x:v>
      </x:c>
      <x:c r="E71" s="42" t="str">
        <x:v>1.740000</x:v>
      </x:c>
      <x:c r="F71" s="42" t="str">
        <x:v>-1.124033288833</x:v>
      </x:c>
      <x:c r="G71" s="42" t="str">
        <x:v>1.124033288833</x:v>
      </x:c>
      <x:c r="H71" s="36" t="str">
        <x:v>PASS</x:v>
      </x:c>
    </x:row>
    <x:row r="72" ht="15" hidden="0" customHeight="1">
      <x:c r="A72" s="36" t="str">
        <x:v>CP2K-native pbc provider</x:v>
      </x:c>
      <x:c r="B72" s="36" t="str">
        <x:v>6</x:v>
      </x:c>
      <x:c r="C72" s="36" t="str">
        <x:v>XVII</x:v>
      </x:c>
      <x:c r="D72" s="42" t="str">
        <x:v>0.657455557145</x:v>
      </x:c>
      <x:c r="E72" s="42" t="str">
        <x:v>1.750000</x:v>
      </x:c>
      <x:c r="F72" s="42" t="str">
        <x:v>-1.092544442855</x:v>
      </x:c>
      <x:c r="G72" s="42" t="str">
        <x:v>1.092544442855</x:v>
      </x:c>
      <x:c r="H72" s="36" t="str">
        <x:v>PASS</x:v>
      </x:c>
    </x:row>
    <x:row r="73" ht="15" hidden="0" customHeight="1">
      <x:c r="A73" s="36" t="str">
        <x:v>CP2K-native pbc provider</x:v>
      </x:c>
      <x:c r="B73" s="36" t="str">
        <x:v>7</x:v>
      </x:c>
      <x:c r="C73" s="36" t="str">
        <x:v>VI</x:v>
      </x:c>
      <x:c r="D73" s="42" t="str">
        <x:v>0.649689340153</x:v>
      </x:c>
      <x:c r="E73" s="42" t="str">
        <x:v>1.780000</x:v>
      </x:c>
      <x:c r="F73" s="42" t="str">
        <x:v>-1.130310659847</x:v>
      </x:c>
      <x:c r="G73" s="42" t="str">
        <x:v>1.130310659847</x:v>
      </x:c>
      <x:c r="H73" s="36" t="str">
        <x:v>PASS</x:v>
      </x:c>
    </x:row>
    <x:row r="74" ht="15" hidden="0" customHeight="1">
      <x:c r="A74" s="36" t="str">
        <x:v>CP2K-native pbc provider</x:v>
      </x:c>
      <x:c r="B74" s="36" t="str">
        <x:v>7</x:v>
      </x:c>
      <x:c r="C74" s="36" t="str">
        <x:v>VII</x:v>
      </x:c>
      <x:c r="D74" s="42" t="str">
        <x:v>-1.826161947227</x:v>
      </x:c>
      <x:c r="E74" s="42" t="str">
        <x:v>4.990000</x:v>
      </x:c>
      <x:c r="F74" s="42" t="str">
        <x:v>-6.816161947227</x:v>
      </x:c>
      <x:c r="G74" s="42" t="str">
        <x:v>6.816161947227</x:v>
      </x:c>
      <x:c r="H74" s="36" t="str">
        <x:v>PASS</x:v>
      </x:c>
    </x:row>
    <x:row r="75" ht="15" hidden="0" customHeight="1">
      <x:c r="A75" s="36" t="str">
        <x:v>CP2K-native pbc provider</x:v>
      </x:c>
      <x:c r="B75" s="36" t="str">
        <x:v>7</x:v>
      </x:c>
      <x:c r="C75" s="36" t="str">
        <x:v>VIII</x:v>
      </x:c>
      <x:c r="D75" s="42" t="str">
        <x:v>1.782418369861</x:v>
      </x:c>
      <x:c r="E75" s="42" t="str">
        <x:v>4.230000</x:v>
      </x:c>
      <x:c r="F75" s="42" t="str">
        <x:v>-2.447581630139</x:v>
      </x:c>
      <x:c r="G75" s="42" t="str">
        <x:v>2.447581630139</x:v>
      </x:c>
      <x:c r="H75" s="36" t="str">
        <x:v>PASS</x:v>
      </x:c>
    </x:row>
    <x:row r="76" ht="15" hidden="0" customHeight="1">
      <x:c r="A76" s="36" t="str">
        <x:v>CP2K-native pbc provider</x:v>
      </x:c>
      <x:c r="B76" s="36" t="str">
        <x:v>7</x:v>
      </x:c>
      <x:c r="C76" s="36" t="str">
        <x:v>XIV</x:v>
      </x:c>
      <x:c r="D76" s="42" t="str">
        <x:v>-0.111024864121</x:v>
      </x:c>
      <x:c r="E76" s="42" t="str">
        <x:v>1.700000</x:v>
      </x:c>
      <x:c r="F76" s="42" t="str">
        <x:v>-1.811024864121</x:v>
      </x:c>
      <x:c r="G76" s="42" t="str">
        <x:v>1.811024864121</x:v>
      </x:c>
      <x:c r="H76" s="36" t="str">
        <x:v>PASS</x:v>
      </x:c>
    </x:row>
    <x:row r="77" ht="15" hidden="0" customHeight="1">
      <x:c r="A77" s="36" t="str">
        <x:v>CP2K-native pbc provider</x:v>
      </x:c>
      <x:c r="B77" s="36" t="str">
        <x:v>7</x:v>
      </x:c>
      <x:c r="C77" s="36" t="str">
        <x:v>XV</x:v>
      </x:c>
      <x:c r="D77" s="42" t="str">
        <x:v>0.635864765327</x:v>
      </x:c>
      <x:c r="E77" s="42" t="str">
        <x:v>1.740000</x:v>
      </x:c>
      <x:c r="F77" s="42" t="str">
        <x:v>-1.104135234673</x:v>
      </x:c>
      <x:c r="G77" s="42" t="str">
        <x:v>1.104135234673</x:v>
      </x:c>
      <x:c r="H77" s="36" t="str">
        <x:v>PASS</x:v>
      </x:c>
    </x:row>
    <x:row r="78" ht="15" hidden="0" customHeight="1">
      <x:c r="A78" s="36" t="str">
        <x:v>CP2K-native pbc provider</x:v>
      </x:c>
      <x:c r="B78" s="36" t="str">
        <x:v>7</x:v>
      </x:c>
      <x:c r="C78" s="36" t="str">
        <x:v>XVII</x:v>
      </x:c>
      <x:c r="D78" s="42" t="str">
        <x:v>0.672285685199</x:v>
      </x:c>
      <x:c r="E78" s="42" t="str">
        <x:v>1.750000</x:v>
      </x:c>
      <x:c r="F78" s="42" t="str">
        <x:v>-1.077714314801</x:v>
      </x:c>
      <x:c r="G78" s="42" t="str">
        <x:v>1.077714314801</x:v>
      </x:c>
      <x:c r="H78" s="36" t="str">
        <x:v>PASS</x:v>
      </x:c>
    </x:row>
    <x:row r="79" ht="15" hidden="0" customHeight="1">
      <x:c r="A79" s="36" t="str">
        <x:v>CP2K-native pbc provider</x:v>
      </x:c>
      <x:c r="B79" s="36" t="str">
        <x:v>8</x:v>
      </x:c>
      <x:c r="C79" s="36" t="str">
        <x:v>VII</x:v>
      </x:c>
      <x:c r="D79" s="42" t="str">
        <x:v>-0.441453685894</x:v>
      </x:c>
      <x:c r="E79" s="42" t="str">
        <x:v>4.990000</x:v>
      </x:c>
      <x:c r="F79" s="42" t="str">
        <x:v>-5.431453685894</x:v>
      </x:c>
      <x:c r="G79" s="42" t="str">
        <x:v>5.431453685894</x:v>
      </x:c>
      <x:c r="H79" s="36" t="str">
        <x:v>PASS</x:v>
      </x:c>
    </x:row>
    <x:row r="80" ht="15" hidden="0" customHeight="1">
      <x:c r="A80" s="36" t="str">
        <x:v>CP2K-native pbc provider</x:v>
      </x:c>
      <x:c r="B80" s="36" t="str">
        <x:v>8</x:v>
      </x:c>
      <x:c r="C80" s="36" t="str">
        <x:v>VIII</x:v>
      </x:c>
      <x:c r="D80" s="42" t="str">
        <x:v>1.810235969010</x:v>
      </x:c>
      <x:c r="E80" s="42" t="str">
        <x:v>4.230000</x:v>
      </x:c>
      <x:c r="F80" s="42" t="str">
        <x:v>-2.419764030990</x:v>
      </x:c>
      <x:c r="G80" s="42" t="str">
        <x:v>2.419764030990</x:v>
      </x:c>
      <x:c r="H80" s="36" t="str">
        <x:v>PASS</x:v>
      </x:c>
    </x:row>
    <x:row r="81" ht="15" hidden="0" customHeight="1">
      <x:c r="A81" s="36" t="str">
        <x:v>CP2K-native pbc provider</x:v>
      </x:c>
      <x:c r="B81" s="36" t="str">
        <x:v>8</x:v>
      </x:c>
      <x:c r="C81" s="36" t="str">
        <x:v>XIV</x:v>
      </x:c>
      <x:c r="D81" s="42" t="str">
        <x:v>0.090455358961</x:v>
      </x:c>
      <x:c r="E81" s="42" t="str">
        <x:v>1.700000</x:v>
      </x:c>
      <x:c r="F81" s="42" t="str">
        <x:v>-1.609544641039</x:v>
      </x:c>
      <x:c r="G81" s="42" t="str">
        <x:v>1.609544641039</x:v>
      </x:c>
      <x:c r="H81" s="36" t="str">
        <x:v>PASS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1.3799991607666" hidden="0" customWidth="1"/>
    <x:col min="4" max="4" width="22.75" hidden="0" customWidth="1"/>
    <x:col min="5" max="5" width="26.25" hidden="0" customWidth="1"/>
    <x:col min="6" max="6" width="24" hidden="0" customWidth="1"/>
    <x:col min="7" max="7" width="24" hidden="0" customWidth="1"/>
    <x:col min="8" max="8" width="11" hidden="0" customWidth="1"/>
    <x:col min="9" max="9" width="19.25" hidden="0" customWidth="1"/>
    <x:col min="10" max="10" width="18.5" hidden="0" customWidth="1"/>
    <x:col min="11" max="11" width="24" hidden="0" customWidth="1"/>
    <x:col min="12" max="12" width="24" hidden="0" customWidth="1"/>
    <x:col min="13" max="13" width="24" hidden="0" customWidth="1"/>
    <x:col min="14" max="14" width="11" hidden="0" customWidth="1"/>
  </x:cols>
  <x:sheetData>
    <x:row r="1" ht="34" hidden="0" customHeight="1">
      <x:c r="A1" s="39" t="str">
        <x:v>mesh_n</x:v>
      </x:c>
      <x:c r="B1" s="39" t="str">
        <x:v>phase</x:v>
      </x:c>
      <x:c r="C1" s="39" t="str">
        <x:v>water_molecules_primitive</x:v>
      </x:c>
      <x:c r="D1" s="39" t="str">
        <x:v>mstore_energy_Ha_supercell</x:v>
      </x:c>
      <x:c r="E1" s="39" t="str">
        <x:v>mstore_energy_Ha_per_primitive</x:v>
      </x:c>
      <x:c r="F1" s="39" t="str">
        <x:v>binary_sha256</x:v>
      </x:c>
      <x:c r="G1" s="39" t="str">
        <x:v>input_sha256</x:v>
      </x:c>
      <x:c r="H1" s="39" t="str">
        <x:v>cli_accuracy</x:v>
      </x:c>
      <x:c r="I1" s="39" t="str">
        <x:v>energy_convergence_Ha</x:v>
      </x:c>
      <x:c r="J1" s="39" t="str">
        <x:v>density_convergence_e</x:v>
      </x:c>
      <x:c r="K1" s="39" t="str">
        <x:v>result_sha256</x:v>
      </x:c>
      <x:c r="L1" s="39" t="str">
        <x:v>process_output_sha256</x:v>
      </x:c>
      <x:c r="M1" s="39" t="str">
        <x:v>raw_result</x:v>
      </x:c>
      <x:c r="N1" s="39" t="str">
        <x:v>qualification</x:v>
      </x:c>
    </x:row>
    <x:row r="2" ht="39.599998474121094" hidden="0" customHeight="1">
      <x:c r="A2" s="36" t="str">
        <x:v>2</x:v>
      </x:c>
      <x:c r="B2" s="36" t="str">
        <x:v>Ih</x:v>
      </x:c>
      <x:c r="C2" s="36" t="str">
        <x:v>12</x:v>
      </x:c>
      <x:c r="D2" s="36" t="str">
        <x:v>-7340.672803582856432</x:v>
      </x:c>
      <x:c r="E2" s="36" t="str">
        <x:v>-917.584100447857054</x:v>
      </x:c>
      <x:c r="F2" s="40" t="str">
        <x:v>8df9fcc990f15600f0b99316602d1d6adfad43f85a2b0203ae14aad44ad4b1aa</x:v>
      </x:c>
      <x:c r="G2" s="40" t="str">
        <x:v>cc6ec119078ecd4769f50893aa7cd6128390cab0eb6f069d58d9972b0a1904b7</x:v>
      </x:c>
      <x:c r="H2" s="36" t="str">
        <x:v>0.1</x:v>
      </x:c>
      <x:c r="I2" s="36" t="str">
        <x:v>9.9999999999999995e-08</x:v>
      </x:c>
      <x:c r="J2" s="36" t="str">
        <x:v>1.9999999999999999e-06</x:v>
      </x:c>
      <x:c r="K2" s="40" t="str">
        <x:v>749d6063e20b5033943b7bf3d3ca55f97b625b2e621626e80ca65619a4261242</x:v>
      </x:c>
      <x:c r="L2" s="40" t="str">
        <x:v>19aba161f02ae7e25782bdd8defba0eec7d4bfdbcb1ab628af8c6dc403dbe881</x:v>
      </x:c>
      <x:c r="M2" s="40" t="str">
        <x:v>raw/mstore_inorganic_cli/k222/Ih/result.json</x:v>
      </x:c>
      <x:c r="N2" s="36" t="str">
        <x:v>PASS</x:v>
      </x:c>
    </x:row>
    <x:row r="3" ht="39.599998474121094" hidden="0" customHeight="1">
      <x:c r="A3" s="36" t="str">
        <x:v>2</x:v>
      </x:c>
      <x:c r="B3" s="36" t="str">
        <x:v>II</x:v>
      </x:c>
      <x:c r="C3" s="36" t="str">
        <x:v>12</x:v>
      </x:c>
      <x:c r="D3" s="36" t="str">
        <x:v>-7340.250498723466990</x:v>
      </x:c>
      <x:c r="E3" s="36" t="str">
        <x:v>-917.531312340433374</x:v>
      </x:c>
      <x:c r="F3" s="40" t="str">
        <x:v>8df9fcc990f15600f0b99316602d1d6adfad43f85a2b0203ae14aad44ad4b1aa</x:v>
      </x:c>
      <x:c r="G3" s="40" t="str">
        <x:v>bb00e41511d4b1e4cec22e3de12ab94f4556cc0795c62a93f47bcf856947f88a</x:v>
      </x:c>
      <x:c r="H3" s="36" t="str">
        <x:v>0.1</x:v>
      </x:c>
      <x:c r="I3" s="36" t="str">
        <x:v>9.9999999999999995e-08</x:v>
      </x:c>
      <x:c r="J3" s="36" t="str">
        <x:v>1.9999999999999999e-06</x:v>
      </x:c>
      <x:c r="K3" s="40" t="str">
        <x:v>1585e0309ce639820ab8b153d3f6dd19f42fc9a1da7ad80a96173efef3ac6155</x:v>
      </x:c>
      <x:c r="L3" s="40" t="str">
        <x:v>2828276ebf4d0a050e11f37f5ce82a2b7ba987634e900d8c6a8a9fb0c6a3c540</x:v>
      </x:c>
      <x:c r="M3" s="40" t="str">
        <x:v>raw/mstore_inorganic_cli/k222/II/result.json</x:v>
      </x:c>
      <x:c r="N3" s="36" t="str">
        <x:v>PASS</x:v>
      </x:c>
    </x:row>
    <x:row r="4" ht="39.599998474121094" hidden="0" customHeight="1">
      <x:c r="A4" s="36" t="str">
        <x:v>2</x:v>
      </x:c>
      <x:c r="B4" s="36" t="str">
        <x:v>III</x:v>
      </x:c>
      <x:c r="C4" s="36" t="str">
        <x:v>12</x:v>
      </x:c>
      <x:c r="D4" s="36" t="str">
        <x:v>-7341.762846103735683</x:v>
      </x:c>
      <x:c r="E4" s="36" t="str">
        <x:v>-917.720355762966960</x:v>
      </x:c>
      <x:c r="F4" s="40" t="str">
        <x:v>8df9fcc990f15600f0b99316602d1d6adfad43f85a2b0203ae14aad44ad4b1aa</x:v>
      </x:c>
      <x:c r="G4" s="40" t="str">
        <x:v>b4fb7f7d4314640b30726af13be2ca0345cc1540c21136a11c4f3ddd5c476952</x:v>
      </x:c>
      <x:c r="H4" s="36" t="str">
        <x:v>0.1</x:v>
      </x:c>
      <x:c r="I4" s="36" t="str">
        <x:v>9.9999999999999995e-08</x:v>
      </x:c>
      <x:c r="J4" s="36" t="str">
        <x:v>1.9999999999999999e-06</x:v>
      </x:c>
      <x:c r="K4" s="40" t="str">
        <x:v>0f0a1e5e67e212364bce5dce4df0b085e241ae1f5fcc3d350f056167976c0fa1</x:v>
      </x:c>
      <x:c r="L4" s="40" t="str">
        <x:v>ca0ca35b91cec751737872a2f9e57c5bfa2279fa762f8d191f0670364701479e</x:v>
      </x:c>
      <x:c r="M4" s="40" t="str">
        <x:v>raw/mstore_inorganic_cli/k222/III/result.json</x:v>
      </x:c>
      <x:c r="N4" s="36" t="str">
        <x:v>PASS</x:v>
      </x:c>
    </x:row>
    <x:row r="5" ht="39.599998474121094" hidden="0" customHeight="1">
      <x:c r="A5" s="36" t="str">
        <x:v>2</x:v>
      </x:c>
      <x:c r="B5" s="36" t="str">
        <x:v>IV</x:v>
      </x:c>
      <x:c r="C5" s="36" t="str">
        <x:v>16</x:v>
      </x:c>
      <x:c r="D5" s="36" t="str">
        <x:v>-9787.551228228514447</x:v>
      </x:c>
      <x:c r="E5" s="36" t="str">
        <x:v>-1223.443903528564306</x:v>
      </x:c>
      <x:c r="F5" s="40" t="str">
        <x:v>8df9fcc990f15600f0b99316602d1d6adfad43f85a2b0203ae14aad44ad4b1aa</x:v>
      </x:c>
      <x:c r="G5" s="40" t="str">
        <x:v>8ee3eca6ffdcce22ebba5414c22666ba6bb796a17c97016cb36339ebf1f7144e</x:v>
      </x:c>
      <x:c r="H5" s="36" t="str">
        <x:v>0.1</x:v>
      </x:c>
      <x:c r="I5" s="36" t="str">
        <x:v>9.9999999999999995e-08</x:v>
      </x:c>
      <x:c r="J5" s="36" t="str">
        <x:v>1.9999999999999999e-06</x:v>
      </x:c>
      <x:c r="K5" s="40" t="str">
        <x:v>fac4327e8741119ee86ac0e7b7ea8f805661268db93dcaf33fd1acf176dcd434</x:v>
      </x:c>
      <x:c r="L5" s="40" t="str">
        <x:v>11fd44ab82017bde57a87b5d4331cf0977fbf5d5b029b7c23a530134addf9d38</x:v>
      </x:c>
      <x:c r="M5" s="40" t="str">
        <x:v>raw/mstore_inorganic_cli/k222/IV/result.json</x:v>
      </x:c>
      <x:c r="N5" s="36" t="str">
        <x:v>PASS</x:v>
      </x:c>
    </x:row>
    <x:row r="6" ht="39.599998474121094" hidden="0" customHeight="1">
      <x:c r="A6" s="36" t="str">
        <x:v>2</x:v>
      </x:c>
      <x:c r="B6" s="36" t="str">
        <x:v>VI</x:v>
      </x:c>
      <x:c r="C6" s="36" t="str">
        <x:v>10</x:v>
      </x:c>
      <x:c r="D6" s="36" t="str">
        <x:v>-6118.094544293921899</x:v>
      </x:c>
      <x:c r="E6" s="36" t="str">
        <x:v>-764.761818036740237</x:v>
      </x:c>
      <x:c r="F6" s="40" t="str">
        <x:v>8df9fcc990f15600f0b99316602d1d6adfad43f85a2b0203ae14aad44ad4b1aa</x:v>
      </x:c>
      <x:c r="G6" s="40" t="str">
        <x:v>d99062f4ddc7012617728ead977427ccfe556383ed12f9d9fa619662e9f1288b</x:v>
      </x:c>
      <x:c r="H6" s="36" t="str">
        <x:v>0.1</x:v>
      </x:c>
      <x:c r="I6" s="36" t="str">
        <x:v>9.9999999999999995e-08</x:v>
      </x:c>
      <x:c r="J6" s="36" t="str">
        <x:v>1.9999999999999999e-06</x:v>
      </x:c>
      <x:c r="K6" s="40" t="str">
        <x:v>73f06bc0cf30b027789b2233371261ccfa00e2cd52583d4540462b934655773f</x:v>
      </x:c>
      <x:c r="L6" s="40" t="str">
        <x:v>bd1ffe9cbab33487568da822ccac732b8acb9d1aa6481e3d218b5dfbea9da405</x:v>
      </x:c>
      <x:c r="M6" s="40" t="str">
        <x:v>raw/mstore_inorganic_cli/k222/VI/result.json</x:v>
      </x:c>
      <x:c r="N6" s="36" t="str">
        <x:v>PASS</x:v>
      </x:c>
    </x:row>
    <x:row r="7" ht="39.599998474121094" hidden="0" customHeight="1">
      <x:c r="A7" s="36" t="str">
        <x:v>2</x:v>
      </x:c>
      <x:c r="B7" s="36" t="str">
        <x:v>VII</x:v>
      </x:c>
      <x:c r="C7" s="36" t="str">
        <x:v>12</x:v>
      </x:c>
      <x:c r="D7" s="36" t="str">
        <x:v>-7346.228700255577678</x:v>
      </x:c>
      <x:c r="E7" s="36" t="str">
        <x:v>-918.278587531947210</x:v>
      </x:c>
      <x:c r="F7" s="40" t="str">
        <x:v>8df9fcc990f15600f0b99316602d1d6adfad43f85a2b0203ae14aad44ad4b1aa</x:v>
      </x:c>
      <x:c r="G7" s="40" t="str">
        <x:v>4de281e3ab3632f443b22f99162e80a3a327c0b8124489c015d4b68fa62d1d91</x:v>
      </x:c>
      <x:c r="H7" s="36" t="str">
        <x:v>0.1</x:v>
      </x:c>
      <x:c r="I7" s="36" t="str">
        <x:v>9.9999999999999995e-08</x:v>
      </x:c>
      <x:c r="J7" s="36" t="str">
        <x:v>1.9999999999999999e-06</x:v>
      </x:c>
      <x:c r="K7" s="40" t="str">
        <x:v>6315900ad724a8454646e2e5d7bd939e20d8f96a5f91299c9e7b2066b6d4756b</x:v>
      </x:c>
      <x:c r="L7" s="40" t="str">
        <x:v>049191e481ba7c550437dfa8109547993b3f5e2c6c3ad6a2fe17714338775a42</x:v>
      </x:c>
      <x:c r="M7" s="40" t="str">
        <x:v>raw/mstore_inorganic_cli/k222/VII/result.json</x:v>
      </x:c>
      <x:c r="N7" s="36" t="str">
        <x:v>PASS</x:v>
      </x:c>
    </x:row>
    <x:row r="8" ht="39.599998474121094" hidden="0" customHeight="1">
      <x:c r="A8" s="36" t="str">
        <x:v>2</x:v>
      </x:c>
      <x:c r="B8" s="36" t="str">
        <x:v>VIII</x:v>
      </x:c>
      <x:c r="C8" s="36" t="str">
        <x:v>8</x:v>
      </x:c>
      <x:c r="D8" s="36" t="str">
        <x:v>-4895.669023276129337</x:v>
      </x:c>
      <x:c r="E8" s="36" t="str">
        <x:v>-611.958627909516167</x:v>
      </x:c>
      <x:c r="F8" s="40" t="str">
        <x:v>8df9fcc990f15600f0b99316602d1d6adfad43f85a2b0203ae14aad44ad4b1aa</x:v>
      </x:c>
      <x:c r="G8" s="40" t="str">
        <x:v>665dd43c54024db79d58c834bb4aa59727e405c1139b7e575dc73054d816a3d3</x:v>
      </x:c>
      <x:c r="H8" s="36" t="str">
        <x:v>0.1</x:v>
      </x:c>
      <x:c r="I8" s="36" t="str">
        <x:v>9.9999999999999995e-08</x:v>
      </x:c>
      <x:c r="J8" s="36" t="str">
        <x:v>1.9999999999999999e-06</x:v>
      </x:c>
      <x:c r="K8" s="40" t="str">
        <x:v>431da8381a1a096a120a8785f443e130bf7a448ab544ec3ba5e1c15d30426780</x:v>
      </x:c>
      <x:c r="L8" s="40" t="str">
        <x:v>c217d49f9ed386839fab6a42cb7e7b425695818aa73ee955d5b4feed5de50cfc</x:v>
      </x:c>
      <x:c r="M8" s="40" t="str">
        <x:v>raw/mstore_inorganic_cli/k222/VIII/result.json</x:v>
      </x:c>
      <x:c r="N8" s="36" t="str">
        <x:v>PASS</x:v>
      </x:c>
    </x:row>
    <x:row r="9" ht="39.599998474121094" hidden="0" customHeight="1">
      <x:c r="A9" s="36" t="str">
        <x:v>2</x:v>
      </x:c>
      <x:c r="B9" s="36" t="str">
        <x:v>IX</x:v>
      </x:c>
      <x:c r="C9" s="36" t="str">
        <x:v>12</x:v>
      </x:c>
      <x:c r="D9" s="36" t="str">
        <x:v>-7341.567545311303547</x:v>
      </x:c>
      <x:c r="E9" s="36" t="str">
        <x:v>-917.695943163912943</x:v>
      </x:c>
      <x:c r="F9" s="40" t="str">
        <x:v>8df9fcc990f15600f0b99316602d1d6adfad43f85a2b0203ae14aad44ad4b1aa</x:v>
      </x:c>
      <x:c r="G9" s="40" t="str">
        <x:v>ec345cbd2b7c34ea3f8f9f891c8486e4ac07e77e63517cb17b7ea17ca27df959</x:v>
      </x:c>
      <x:c r="H9" s="36" t="str">
        <x:v>0.1</x:v>
      </x:c>
      <x:c r="I9" s="36" t="str">
        <x:v>9.9999999999999995e-08</x:v>
      </x:c>
      <x:c r="J9" s="36" t="str">
        <x:v>1.9999999999999999e-06</x:v>
      </x:c>
      <x:c r="K9" s="40" t="str">
        <x:v>02fb609bf9378960d55c2f9b5e5b5c2de4b022902aedafe644e73e0b408a712f</x:v>
      </x:c>
      <x:c r="L9" s="40" t="str">
        <x:v>a4f36ea7ce09cf326ab5836851de01f8df22c7641d2d775c51f0c74513ff2054</x:v>
      </x:c>
      <x:c r="M9" s="40" t="str">
        <x:v>raw/mstore_inorganic_cli/k222/IX/result.json</x:v>
      </x:c>
      <x:c r="N9" s="36" t="str">
        <x:v>PASS</x:v>
      </x:c>
    </x:row>
    <x:row r="10" ht="39.599998474121094" hidden="0" customHeight="1">
      <x:c r="A10" s="36" t="str">
        <x:v>2</x:v>
      </x:c>
      <x:c r="B10" s="36" t="str">
        <x:v>XI</x:v>
      </x:c>
      <x:c r="C10" s="36" t="str">
        <x:v>8</x:v>
      </x:c>
      <x:c r="D10" s="36" t="str">
        <x:v>-4895.842885700069019</x:v>
      </x:c>
      <x:c r="E10" s="36" t="str">
        <x:v>-611.980360712508627</x:v>
      </x:c>
      <x:c r="F10" s="40" t="str">
        <x:v>8df9fcc990f15600f0b99316602d1d6adfad43f85a2b0203ae14aad44ad4b1aa</x:v>
      </x:c>
      <x:c r="G10" s="40" t="str">
        <x:v>89ce70f57ad4a49e4dcdf3d151a2981304d866190279ec84d516d9001890f737</x:v>
      </x:c>
      <x:c r="H10" s="36" t="str">
        <x:v>0.1</x:v>
      </x:c>
      <x:c r="I10" s="36" t="str">
        <x:v>9.9999999999999995e-08</x:v>
      </x:c>
      <x:c r="J10" s="36" t="str">
        <x:v>1.9999999999999999e-06</x:v>
      </x:c>
      <x:c r="K10" s="40" t="str">
        <x:v>9e40c7d2e505f009b2fede2023f09202f61031da6e211b54885d2f444fda3e65</x:v>
      </x:c>
      <x:c r="L10" s="40" t="str">
        <x:v>d899ae30870a775cb05fbc963f5711a02d2e7ed5f844cb0997e726cc0aaf2ce3</x:v>
      </x:c>
      <x:c r="M10" s="40" t="str">
        <x:v>raw/mstore_inorganic_cli/k222/XI/result.json</x:v>
      </x:c>
      <x:c r="N10" s="36" t="str">
        <x:v>PASS</x:v>
      </x:c>
    </x:row>
    <x:row r="11" ht="39.599998474121094" hidden="0" customHeight="1">
      <x:c r="A11" s="36" t="str">
        <x:v>2</x:v>
      </x:c>
      <x:c r="B11" s="36" t="str">
        <x:v>XIII</x:v>
      </x:c>
      <x:c r="C11" s="36" t="str">
        <x:v>28</x:v>
      </x:c>
      <x:c r="D11" s="36" t="str">
        <x:v>-17128.157858443981240</x:v>
      </x:c>
      <x:c r="E11" s="36" t="str">
        <x:v>-2141.019732305497655</x:v>
      </x:c>
      <x:c r="F11" s="40" t="str">
        <x:v>8df9fcc990f15600f0b99316602d1d6adfad43f85a2b0203ae14aad44ad4b1aa</x:v>
      </x:c>
      <x:c r="G11" s="40" t="str">
        <x:v>082bd77882b5a9bf57f9ca50ee6a4e5049b969c8b59c6eef2c593517ed8e0d23</x:v>
      </x:c>
      <x:c r="H11" s="36" t="str">
        <x:v>0.1</x:v>
      </x:c>
      <x:c r="I11" s="36" t="str">
        <x:v>9.9999999999999995e-08</x:v>
      </x:c>
      <x:c r="J11" s="36" t="str">
        <x:v>1.9999999999999999e-06</x:v>
      </x:c>
      <x:c r="K11" s="40" t="str">
        <x:v>a3b852b7efff597bc8334e7d7873fb8f7d81ccf638728e9a0db0f6eeb2de8134</x:v>
      </x:c>
      <x:c r="L11" s="40" t="str">
        <x:v>345869fe0367a8b8d3ae51e20b6e19a33b5c2bd5a1e7cd7fc73e3fdf989a66a0</x:v>
      </x:c>
      <x:c r="M11" s="40" t="str">
        <x:v>raw/mstore_inorganic_cli/k222/XIII/result.json</x:v>
      </x:c>
      <x:c r="N11" s="36" t="str">
        <x:v>PASS</x:v>
      </x:c>
    </x:row>
    <x:row r="12" ht="39.599998474121094" hidden="0" customHeight="1">
      <x:c r="A12" s="36" t="str">
        <x:v>2</x:v>
      </x:c>
      <x:c r="B12" s="36" t="str">
        <x:v>XIV</x:v>
      </x:c>
      <x:c r="C12" s="36" t="str">
        <x:v>12</x:v>
      </x:c>
      <x:c r="D12" s="36" t="str">
        <x:v>-7344.313059511200663</x:v>
      </x:c>
      <x:c r="E12" s="36" t="str">
        <x:v>-918.039132438900083</x:v>
      </x:c>
      <x:c r="F12" s="40" t="str">
        <x:v>8df9fcc990f15600f0b99316602d1d6adfad43f85a2b0203ae14aad44ad4b1aa</x:v>
      </x:c>
      <x:c r="G12" s="40" t="str">
        <x:v>2e836349250b157878fd3f1683d921713e8f3757a542b6c0db439e45e39c7623</x:v>
      </x:c>
      <x:c r="H12" s="36" t="str">
        <x:v>0.1</x:v>
      </x:c>
      <x:c r="I12" s="36" t="str">
        <x:v>9.9999999999999995e-08</x:v>
      </x:c>
      <x:c r="J12" s="36" t="str">
        <x:v>1.9999999999999999e-06</x:v>
      </x:c>
      <x:c r="K12" s="40" t="str">
        <x:v>55239c2d1be59876cc4756a3653c23ddd201284ceee08401cb16d4b85ef74bdb</x:v>
      </x:c>
      <x:c r="L12" s="40" t="str">
        <x:v>6bcdad038104cc366714d297ef3b13a723ddb09d23a0f5c5d31e07cb4755cdf0</x:v>
      </x:c>
      <x:c r="M12" s="40" t="str">
        <x:v>raw/mstore_inorganic_cli/k222/XIV/result.json</x:v>
      </x:c>
      <x:c r="N12" s="36" t="str">
        <x:v>PASS</x:v>
      </x:c>
    </x:row>
    <x:row r="13" ht="39.599998474121094" hidden="0" customHeight="1">
      <x:c r="A13" s="36" t="str">
        <x:v>2</x:v>
      </x:c>
      <x:c r="B13" s="36" t="str">
        <x:v>XV</x:v>
      </x:c>
      <x:c r="C13" s="36" t="str">
        <x:v>10</x:v>
      </x:c>
      <x:c r="D13" s="36" t="str">
        <x:v>-6118.100768583846730</x:v>
      </x:c>
      <x:c r="E13" s="36" t="str">
        <x:v>-764.762596072980841</x:v>
      </x:c>
      <x:c r="F13" s="40" t="str">
        <x:v>8df9fcc990f15600f0b99316602d1d6adfad43f85a2b0203ae14aad44ad4b1aa</x:v>
      </x:c>
      <x:c r="G13" s="40" t="str">
        <x:v>f69c74d09a7612876d5c85043287a99221062a22e8467f5e01bb511d4ac4ce31</x:v>
      </x:c>
      <x:c r="H13" s="36" t="str">
        <x:v>0.1</x:v>
      </x:c>
      <x:c r="I13" s="36" t="str">
        <x:v>9.9999999999999995e-08</x:v>
      </x:c>
      <x:c r="J13" s="36" t="str">
        <x:v>1.9999999999999999e-06</x:v>
      </x:c>
      <x:c r="K13" s="40" t="str">
        <x:v>083decac894c4469dd80bbd847a50b964aef017c254deac1feb821ef37e3241a</x:v>
      </x:c>
      <x:c r="L13" s="40" t="str">
        <x:v>2237318935a3039634386fbbec6baf5557d677ef31a26898b7c3ef70f74e93e8</x:v>
      </x:c>
      <x:c r="M13" s="40" t="str">
        <x:v>raw/mstore_inorganic_cli/k222/XV/result.json</x:v>
      </x:c>
      <x:c r="N13" s="36" t="str">
        <x:v>PASS</x:v>
      </x:c>
    </x:row>
    <x:row r="14" ht="39.599998474121094" hidden="0" customHeight="1">
      <x:c r="A14" s="36" t="str">
        <x:v>2</x:v>
      </x:c>
      <x:c r="B14" s="36" t="str">
        <x:v>XVII</x:v>
      </x:c>
      <x:c r="C14" s="36" t="str">
        <x:v>6</x:v>
      </x:c>
      <x:c r="D14" s="36" t="str">
        <x:v>-3670.801471312778631</x:v>
      </x:c>
      <x:c r="E14" s="36" t="str">
        <x:v>-458.850183914097329</x:v>
      </x:c>
      <x:c r="F14" s="40" t="str">
        <x:v>8df9fcc990f15600f0b99316602d1d6adfad43f85a2b0203ae14aad44ad4b1aa</x:v>
      </x:c>
      <x:c r="G14" s="40" t="str">
        <x:v>17446bfc858d189bb9e48745c7e14b470ba2b72bc56e7db50afa2864a101b8c7</x:v>
      </x:c>
      <x:c r="H14" s="36" t="str">
        <x:v>0.1</x:v>
      </x:c>
      <x:c r="I14" s="36" t="str">
        <x:v>9.9999999999999995e-08</x:v>
      </x:c>
      <x:c r="J14" s="36" t="str">
        <x:v>1.9999999999999999e-06</x:v>
      </x:c>
      <x:c r="K14" s="40" t="str">
        <x:v>6730aa099e286ba542e96fa997d5a589f7024ccdaa6340ecf54625eede2cdf90</x:v>
      </x:c>
      <x:c r="L14" s="40" t="str">
        <x:v>87325e1be1e4e04c18bbaf3422d3aa4621531f067cb0af7326bacce5225fac04</x:v>
      </x:c>
      <x:c r="M14" s="40" t="str">
        <x:v>raw/mstore_inorganic_cli/k222/XVII/result.json</x:v>
      </x:c>
      <x:c r="N14" s="36" t="str">
        <x:v>PASS</x:v>
      </x:c>
    </x:row>
    <x:row r="15" ht="39.599998474121094" hidden="0" customHeight="1">
      <x:c r="A15" s="36" t="str">
        <x:v>3</x:v>
      </x:c>
      <x:c r="B15" s="36" t="str">
        <x:v>Ih</x:v>
      </x:c>
      <x:c r="C15" s="36" t="str">
        <x:v>12</x:v>
      </x:c>
      <x:c r="D15" s="36" t="str">
        <x:v>-24772.174455952565040</x:v>
      </x:c>
      <x:c r="E15" s="36" t="str">
        <x:v>-917.487942813057998</x:v>
      </x:c>
      <x:c r="F15" s="40" t="str">
        <x:v>8df9fcc990f15600f0b99316602d1d6adfad43f85a2b0203ae14aad44ad4b1aa</x:v>
      </x:c>
      <x:c r="G15" s="40" t="str">
        <x:v>390e6e2f86de77f0cb13c88f92ee287058d834466e56977c66c145bd4f14ba14</x:v>
      </x:c>
      <x:c r="H15" s="36" t="str">
        <x:v>0.1</x:v>
      </x:c>
      <x:c r="I15" s="36" t="str">
        <x:v>9.9999999999999995e-08</x:v>
      </x:c>
      <x:c r="J15" s="36" t="str">
        <x:v>1.9999999999999999e-06</x:v>
      </x:c>
      <x:c r="K15" s="40" t="str">
        <x:v>0b73af206d417114a1bd8ab1927b0f658aede0e14fdd91fa336e3086a47d1a53</x:v>
      </x:c>
      <x:c r="L15" s="40" t="str">
        <x:v>b5d9dc6f1ed0f5e371ef19d851947b69fe24cfe523744f4ee76324be341ccfd2</x:v>
      </x:c>
      <x:c r="M15" s="40" t="str">
        <x:v>raw/mstore_inorganic_cli/k333/Ih/result.json</x:v>
      </x:c>
      <x:c r="N15" s="36" t="str">
        <x:v>PASS</x:v>
      </x:c>
    </x:row>
    <x:row r="16" ht="39.599998474121094" hidden="0" customHeight="1">
      <x:c r="A16" s="36" t="str">
        <x:v>3</x:v>
      </x:c>
      <x:c r="B16" s="36" t="str">
        <x:v>II</x:v>
      </x:c>
      <x:c r="C16" s="36" t="str">
        <x:v>12</x:v>
      </x:c>
      <x:c r="D16" s="36" t="str">
        <x:v>-24772.209007920748263</x:v>
      </x:c>
      <x:c r="E16" s="36" t="str">
        <x:v>-917.489222515583265</x:v>
      </x:c>
      <x:c r="F16" s="40" t="str">
        <x:v>8df9fcc990f15600f0b99316602d1d6adfad43f85a2b0203ae14aad44ad4b1aa</x:v>
      </x:c>
      <x:c r="G16" s="40" t="str">
        <x:v>9c6fc3c088893d7413933ffd4ae6adeeb30bac20c9275e3ca73ccfe590039ff0</x:v>
      </x:c>
      <x:c r="H16" s="36" t="str">
        <x:v>0.1</x:v>
      </x:c>
      <x:c r="I16" s="36" t="str">
        <x:v>9.9999999999999995e-08</x:v>
      </x:c>
      <x:c r="J16" s="36" t="str">
        <x:v>1.9999999999999999e-06</x:v>
      </x:c>
      <x:c r="K16" s="40" t="str">
        <x:v>784ce0060d9cf5dcfa7f5669ad546170cf6a9c85797f6077053b6e44b5835f5d</x:v>
      </x:c>
      <x:c r="L16" s="40" t="str">
        <x:v>686232d069fd45f79b8341d9baea08121f6aabc2d4c7b87cd507d4cf723232b2</x:v>
      </x:c>
      <x:c r="M16" s="40" t="str">
        <x:v>raw/mstore_inorganic_cli/k333/II/result.json</x:v>
      </x:c>
      <x:c r="N16" s="36" t="str">
        <x:v>PASS</x:v>
      </x:c>
    </x:row>
    <x:row r="17" ht="39.599998474121094" hidden="0" customHeight="1">
      <x:c r="A17" s="36" t="str">
        <x:v>3</x:v>
      </x:c>
      <x:c r="B17" s="36" t="str">
        <x:v>III</x:v>
      </x:c>
      <x:c r="C17" s="36" t="str">
        <x:v>12</x:v>
      </x:c>
      <x:c r="D17" s="36" t="str">
        <x:v>-24772.386737649714632</x:v>
      </x:c>
      <x:c r="E17" s="36" t="str">
        <x:v>-917.495805098137566</x:v>
      </x:c>
      <x:c r="F17" s="40" t="str">
        <x:v>8df9fcc990f15600f0b99316602d1d6adfad43f85a2b0203ae14aad44ad4b1aa</x:v>
      </x:c>
      <x:c r="G17" s="40" t="str">
        <x:v>9bf8e1381f7d38b8042bcaee4d3c3112520b647ce612cc447efe6435e26c7732</x:v>
      </x:c>
      <x:c r="H17" s="36" t="str">
        <x:v>0.1</x:v>
      </x:c>
      <x:c r="I17" s="36" t="str">
        <x:v>9.9999999999999995e-08</x:v>
      </x:c>
      <x:c r="J17" s="36" t="str">
        <x:v>1.9999999999999999e-06</x:v>
      </x:c>
      <x:c r="K17" s="40" t="str">
        <x:v>0142e8dcc9d168ac1a9d08123e8fe71b3fec78ee6f6133d20fdc14596e5c7cbd</x:v>
      </x:c>
      <x:c r="L17" s="40" t="str">
        <x:v>642c61b22bce433639b50114ac3e15ff68ac77c321e3c62d2f5d731b8d29b4e6</x:v>
      </x:c>
      <x:c r="M17" s="40" t="str">
        <x:v>raw/mstore_inorganic_cli/k333/III/result.json</x:v>
      </x:c>
      <x:c r="N17" s="36" t="str">
        <x:v>PASS</x:v>
      </x:c>
    </x:row>
    <x:row r="18" ht="39.599998474121094" hidden="0" customHeight="1">
      <x:c r="A18" s="36" t="str">
        <x:v>3</x:v>
      </x:c>
      <x:c r="B18" s="36" t="str">
        <x:v>IV</x:v>
      </x:c>
      <x:c r="C18" s="36" t="str">
        <x:v>16</x:v>
      </x:c>
      <x:c r="D18" s="36" t="str">
        <x:v>-33029.293860518417205</x:v>
      </x:c>
      <x:c r="E18" s="36" t="str">
        <x:v>-1223.307180019200587</x:v>
      </x:c>
      <x:c r="F18" s="40" t="str">
        <x:v>8df9fcc990f15600f0b99316602d1d6adfad43f85a2b0203ae14aad44ad4b1aa</x:v>
      </x:c>
      <x:c r="G18" s="40" t="str">
        <x:v>1213f0675a27713d0093568cdbdc8b50e8159e4154e42b0a491d0f77e5cf96ab</x:v>
      </x:c>
      <x:c r="H18" s="36" t="str">
        <x:v>0.1</x:v>
      </x:c>
      <x:c r="I18" s="36" t="str">
        <x:v>9.9999999999999995e-08</x:v>
      </x:c>
      <x:c r="J18" s="36" t="str">
        <x:v>1.9999999999999999e-06</x:v>
      </x:c>
      <x:c r="K18" s="40" t="str">
        <x:v>02a875b1ce4838020e682dc007d41941e1d805ca9c198201a9c8d6fe109467ad</x:v>
      </x:c>
      <x:c r="L18" s="40" t="str">
        <x:v>14782501f727c6773e6bb979bfe00db327047e1cd0c66d95ac3b29a0d10572e6</x:v>
      </x:c>
      <x:c r="M18" s="40" t="str">
        <x:v>raw/mstore_inorganic_cli/k333/IV/result.json</x:v>
      </x:c>
      <x:c r="N18" s="36" t="str">
        <x:v>PASS</x:v>
      </x:c>
    </x:row>
    <x:row r="19" ht="39.599998474121094" hidden="0" customHeight="1">
      <x:c r="A19" s="36" t="str">
        <x:v>3</x:v>
      </x:c>
      <x:c r="B19" s="36" t="str">
        <x:v>VI</x:v>
      </x:c>
      <x:c r="C19" s="36" t="str">
        <x:v>10</x:v>
      </x:c>
      <x:c r="D19" s="36" t="str">
        <x:v>-20644.086699889830925</x:v>
      </x:c>
      <x:c r="E19" s="36" t="str">
        <x:v>-764.595803699623389</x:v>
      </x:c>
      <x:c r="F19" s="40" t="str">
        <x:v>8df9fcc990f15600f0b99316602d1d6adfad43f85a2b0203ae14aad44ad4b1aa</x:v>
      </x:c>
      <x:c r="G19" s="40" t="str">
        <x:v>77dcb209d6002de61674716b9e4084d2620dd1de648b719926306b0d47ea25f8</x:v>
      </x:c>
      <x:c r="H19" s="36" t="str">
        <x:v>0.1</x:v>
      </x:c>
      <x:c r="I19" s="36" t="str">
        <x:v>9.9999999999999995e-08</x:v>
      </x:c>
      <x:c r="J19" s="36" t="str">
        <x:v>1.9999999999999999e-06</x:v>
      </x:c>
      <x:c r="K19" s="40" t="str">
        <x:v>9a36c9ebf69adfab87535842b04ccd6f02bcd36e8e5729f5e4059a6e347a0847</x:v>
      </x:c>
      <x:c r="L19" s="40" t="str">
        <x:v>8085599e1a91241f95c67035c1794b6f1864c0f0f373ce827233ca80a6bc50d0</x:v>
      </x:c>
      <x:c r="M19" s="40" t="str">
        <x:v>raw/mstore_inorganic_cli/k333/VI/result.json</x:v>
      </x:c>
      <x:c r="N19" s="36" t="str">
        <x:v>PASS</x:v>
      </x:c>
    </x:row>
    <x:row r="20" ht="39.599998474121094" hidden="0" customHeight="1">
      <x:c r="A20" s="36" t="str">
        <x:v>3</x:v>
      </x:c>
      <x:c r="B20" s="36" t="str">
        <x:v>VII</x:v>
      </x:c>
      <x:c r="C20" s="36" t="str">
        <x:v>12</x:v>
      </x:c>
      <x:c r="D20" s="36" t="str">
        <x:v>-24781.731768295205256</x:v>
      </x:c>
      <x:c r="E20" s="36" t="str">
        <x:v>-917.841917344266903</x:v>
      </x:c>
      <x:c r="F20" s="40" t="str">
        <x:v>8df9fcc990f15600f0b99316602d1d6adfad43f85a2b0203ae14aad44ad4b1aa</x:v>
      </x:c>
      <x:c r="G20" s="40" t="str">
        <x:v>8e7314d0d1920535e14a86ae92013aa5f19e35f835533c4c5b5152186aa75235</x:v>
      </x:c>
      <x:c r="H20" s="36" t="str">
        <x:v>0.1</x:v>
      </x:c>
      <x:c r="I20" s="36" t="str">
        <x:v>9.9999999999999995e-08</x:v>
      </x:c>
      <x:c r="J20" s="36" t="str">
        <x:v>1.9999999999999999e-06</x:v>
      </x:c>
      <x:c r="K20" s="40" t="str">
        <x:v>f14ad261b44fcf03970644ef4d85d7c49ea702be264505ca46475f864e830c7c</x:v>
      </x:c>
      <x:c r="L20" s="40" t="str">
        <x:v>b1f4f0feea1d160b61ae3c95fa68d4a0c1fe48000535cd44c3706326b689df84</x:v>
      </x:c>
      <x:c r="M20" s="40" t="str">
        <x:v>raw/mstore_inorganic_cli/k333/VII/result.json</x:v>
      </x:c>
      <x:c r="N20" s="36" t="str">
        <x:v>PASS</x:v>
      </x:c>
    </x:row>
    <x:row r="21" ht="39.599998474121094" hidden="0" customHeight="1">
      <x:c r="A21" s="36" t="str">
        <x:v>3</x:v>
      </x:c>
      <x:c r="B21" s="36" t="str">
        <x:v>VIII</x:v>
      </x:c>
      <x:c r="C21" s="36" t="str">
        <x:v>8</x:v>
      </x:c>
      <x:c r="D21" s="36" t="str">
        <x:v>-16516.404243755045172</x:v>
      </x:c>
      <x:c r="E21" s="36" t="str">
        <x:v>-611.718675694631315</x:v>
      </x:c>
      <x:c r="F21" s="40" t="str">
        <x:v>8df9fcc990f15600f0b99316602d1d6adfad43f85a2b0203ae14aad44ad4b1aa</x:v>
      </x:c>
      <x:c r="G21" s="40" t="str">
        <x:v>9bd1a82532940e5f98fb6e04cc291787e0ea73d9ab34ae89de69867e9bf21398</x:v>
      </x:c>
      <x:c r="H21" s="36" t="str">
        <x:v>0.1</x:v>
      </x:c>
      <x:c r="I21" s="36" t="str">
        <x:v>9.9999999999999995e-08</x:v>
      </x:c>
      <x:c r="J21" s="36" t="str">
        <x:v>1.9999999999999999e-06</x:v>
      </x:c>
      <x:c r="K21" s="40" t="str">
        <x:v>76d2112aa0b7898a8d192a28271620619da202b69f6f0216eb47f2814bf56eef</x:v>
      </x:c>
      <x:c r="L21" s="40" t="str">
        <x:v>f3422098ad845a28ffe6f8981a7a8b665d4f2eed1672748ef2ef7fa328eeabcf</x:v>
      </x:c>
      <x:c r="M21" s="40" t="str">
        <x:v>raw/mstore_inorganic_cli/k333/VIII/result.json</x:v>
      </x:c>
      <x:c r="N21" s="36" t="str">
        <x:v>PASS</x:v>
      </x:c>
    </x:row>
    <x:row r="22" ht="39.599998474121094" hidden="0" customHeight="1">
      <x:c r="A22" s="36" t="str">
        <x:v>3</x:v>
      </x:c>
      <x:c r="B22" s="36" t="str">
        <x:v>IX</x:v>
      </x:c>
      <x:c r="C22" s="36" t="str">
        <x:v>12</x:v>
      </x:c>
      <x:c r="D22" s="36" t="str">
        <x:v>-24772.516876874447917</x:v>
      </x:c>
      <x:c r="E22" s="36" t="str">
        <x:v>-917.500625069424018</x:v>
      </x:c>
      <x:c r="F22" s="40" t="str">
        <x:v>8df9fcc990f15600f0b99316602d1d6adfad43f85a2b0203ae14aad44ad4b1aa</x:v>
      </x:c>
      <x:c r="G22" s="40" t="str">
        <x:v>c65ee97797664282f7e987860a895bc4d30d33af8d190c41aa96ba78b0f984e5</x:v>
      </x:c>
      <x:c r="H22" s="36" t="str">
        <x:v>0.1</x:v>
      </x:c>
      <x:c r="I22" s="36" t="str">
        <x:v>9.9999999999999995e-08</x:v>
      </x:c>
      <x:c r="J22" s="36" t="str">
        <x:v>1.9999999999999999e-06</x:v>
      </x:c>
      <x:c r="K22" s="40" t="str">
        <x:v>9d93b4c1b93403e1a86d719220529a9d39f053ed90bf259fce83ee86b308f17d</x:v>
      </x:c>
      <x:c r="L22" s="40" t="str">
        <x:v>26a1b0106e9faf6a69101dc82c5cdc561ce615c1f63e6482191799086ff2eea6</x:v>
      </x:c>
      <x:c r="M22" s="40" t="str">
        <x:v>raw/mstore_inorganic_cli/k333/IX/result.json</x:v>
      </x:c>
      <x:c r="N22" s="36" t="str">
        <x:v>PASS</x:v>
      </x:c>
    </x:row>
    <x:row r="23" ht="39.599998474121094" hidden="0" customHeight="1">
      <x:c r="A23" s="36" t="str">
        <x:v>3</x:v>
      </x:c>
      <x:c r="B23" s="36" t="str">
        <x:v>XI</x:v>
      </x:c>
      <x:c r="C23" s="36" t="str">
        <x:v>8</x:v>
      </x:c>
      <x:c r="D23" s="36" t="str">
        <x:v>-16517.347225468845863</x:v>
      </x:c>
      <x:c r="E23" s="36" t="str">
        <x:v>-611.753600943290621</x:v>
      </x:c>
      <x:c r="F23" s="40" t="str">
        <x:v>8df9fcc990f15600f0b99316602d1d6adfad43f85a2b0203ae14aad44ad4b1aa</x:v>
      </x:c>
      <x:c r="G23" s="40" t="str">
        <x:v>c7ebc2fbbb67b620ef93d11a03adfcb9e8f54c2604931ee36842b670d9caa4f5</x:v>
      </x:c>
      <x:c r="H23" s="36" t="str">
        <x:v>0.1</x:v>
      </x:c>
      <x:c r="I23" s="36" t="str">
        <x:v>9.9999999999999995e-08</x:v>
      </x:c>
      <x:c r="J23" s="36" t="str">
        <x:v>1.9999999999999999e-06</x:v>
      </x:c>
      <x:c r="K23" s="40" t="str">
        <x:v>81f9f34536e4f82d987b2a0e6032a33c87bc6dc7de7b0384909d35d42ee4e999</x:v>
      </x:c>
      <x:c r="L23" s="40" t="str">
        <x:v>593944fe2d6f5847859d2f11a7e3deb488bde00e60547f07c95868817d66b87e</x:v>
      </x:c>
      <x:c r="M23" s="40" t="str">
        <x:v>raw/mstore_inorganic_cli/k333/XI/result.json</x:v>
      </x:c>
      <x:c r="N23" s="36" t="str">
        <x:v>PASS</x:v>
      </x:c>
    </x:row>
    <x:row r="24" ht="39.599998474121094" hidden="0" customHeight="1">
      <x:c r="A24" s="36" t="str">
        <x:v>3</x:v>
      </x:c>
      <x:c r="B24" s="36" t="str">
        <x:v>XIII</x:v>
      </x:c>
      <x:c r="C24" s="36" t="str">
        <x:v>28</x:v>
      </x:c>
      <x:c r="D24" s="36" t="str">
        <x:v>-57801.612850758501736</x:v>
      </x:c>
      <x:c r="E24" s="36" t="str">
        <x:v>-2140.800475954018566</x:v>
      </x:c>
      <x:c r="F24" s="40" t="str">
        <x:v>8df9fcc990f15600f0b99316602d1d6adfad43f85a2b0203ae14aad44ad4b1aa</x:v>
      </x:c>
      <x:c r="G24" s="40" t="str">
        <x:v>37b1d93ec726b6e50c401f66bd1c4eca2ff9ae6073a351aedeb1d03d21cc9fd4</x:v>
      </x:c>
      <x:c r="H24" s="36" t="str">
        <x:v>0.1</x:v>
      </x:c>
      <x:c r="I24" s="36" t="str">
        <x:v>9.9999999999999995e-08</x:v>
      </x:c>
      <x:c r="J24" s="36" t="str">
        <x:v>1.9999999999999999e-06</x:v>
      </x:c>
      <x:c r="K24" s="40" t="str">
        <x:v>1cf9308d274edeb118aba8b3a79ba471e5f9abb3e020d5795bdf945fb822e610</x:v>
      </x:c>
      <x:c r="L24" s="40" t="str">
        <x:v>4c7e6011d522d99b4e7af6ac830580758663ceadae43261f7c4046fd9124dc5f</x:v>
      </x:c>
      <x:c r="M24" s="40" t="str">
        <x:v>raw/mstore_inorganic_cli/k333/XIII/result.json</x:v>
      </x:c>
      <x:c r="N24" s="36" t="str">
        <x:v>PASS</x:v>
      </x:c>
    </x:row>
    <x:row r="25" ht="39.599998474121094" hidden="0" customHeight="1">
      <x:c r="A25" s="36" t="str">
        <x:v>3</x:v>
      </x:c>
      <x:c r="B25" s="36" t="str">
        <x:v>XIV</x:v>
      </x:c>
      <x:c r="C25" s="36" t="str">
        <x:v>12</x:v>
      </x:c>
      <x:c r="D25" s="36" t="str">
        <x:v>-24777.330294619918277</x:v>
      </x:c>
      <x:c r="E25" s="36" t="str">
        <x:v>-917.678899800737668</x:v>
      </x:c>
      <x:c r="F25" s="40" t="str">
        <x:v>8df9fcc990f15600f0b99316602d1d6adfad43f85a2b0203ae14aad44ad4b1aa</x:v>
      </x:c>
      <x:c r="G25" s="40" t="str">
        <x:v>06ef5467deadd2e61959f6997effdac1b11a6d1ebe61c673d9197a79566363ab</x:v>
      </x:c>
      <x:c r="H25" s="36" t="str">
        <x:v>0.1</x:v>
      </x:c>
      <x:c r="I25" s="36" t="str">
        <x:v>9.9999999999999995e-08</x:v>
      </x:c>
      <x:c r="J25" s="36" t="str">
        <x:v>1.9999999999999999e-06</x:v>
      </x:c>
      <x:c r="K25" s="40" t="str">
        <x:v>840c2306186c3186ccf9d181cf692ce3feac8d5af846af5663623cd713d4e62e</x:v>
      </x:c>
      <x:c r="L25" s="40" t="str">
        <x:v>5711936e81a854f0528de07fd00589e85ab7052ebd9bea36e8fadc3097ce3e2f</x:v>
      </x:c>
      <x:c r="M25" s="40" t="str">
        <x:v>raw/mstore_inorganic_cli/k333/XIV/result.json</x:v>
      </x:c>
      <x:c r="N25" s="36" t="str">
        <x:v>PASS</x:v>
      </x:c>
    </x:row>
    <x:row r="26" ht="39.599998474121094" hidden="0" customHeight="1">
      <x:c r="A26" s="36" t="str">
        <x:v>3</x:v>
      </x:c>
      <x:c r="B26" s="36" t="str">
        <x:v>XV</x:v>
      </x:c>
      <x:c r="C26" s="36" t="str">
        <x:v>10</x:v>
      </x:c>
      <x:c r="D26" s="36" t="str">
        <x:v>-20644.088996855942241</x:v>
      </x:c>
      <x:c r="E26" s="36" t="str">
        <x:v>-764.595888772442322</x:v>
      </x:c>
      <x:c r="F26" s="40" t="str">
        <x:v>8df9fcc990f15600f0b99316602d1d6adfad43f85a2b0203ae14aad44ad4b1aa</x:v>
      </x:c>
      <x:c r="G26" s="40" t="str">
        <x:v>ddcea98e071c52b4125a28a8b2329840e386ca491346213bb671b6025a523c89</x:v>
      </x:c>
      <x:c r="H26" s="36" t="str">
        <x:v>0.1</x:v>
      </x:c>
      <x:c r="I26" s="36" t="str">
        <x:v>9.9999999999999995e-08</x:v>
      </x:c>
      <x:c r="J26" s="36" t="str">
        <x:v>1.9999999999999999e-06</x:v>
      </x:c>
      <x:c r="K26" s="40" t="str">
        <x:v>5f69dcaba3edba31ab66c8d8fdceb85e89f32c4fd6538dc77819d35186a705e6</x:v>
      </x:c>
      <x:c r="L26" s="40" t="str">
        <x:v>f05423a7605041f4b509130b07c534c05a89eb9d3dec444ce37814ced0736598</x:v>
      </x:c>
      <x:c r="M26" s="40" t="str">
        <x:v>raw/mstore_inorganic_cli/k333/XV/result.json</x:v>
      </x:c>
      <x:c r="N26" s="36" t="str">
        <x:v>PASS</x:v>
      </x:c>
    </x:row>
    <x:row r="27" ht="39.599998474121094" hidden="0" customHeight="1">
      <x:c r="A27" s="36" t="str">
        <x:v>3</x:v>
      </x:c>
      <x:c r="B27" s="36" t="str">
        <x:v>XVII</x:v>
      </x:c>
      <x:c r="C27" s="36" t="str">
        <x:v>6</x:v>
      </x:c>
      <x:c r="D27" s="36" t="str">
        <x:v>-12386.388372012648688</x:v>
      </x:c>
      <x:c r="E27" s="36" t="str">
        <x:v>-458.755124889357376</x:v>
      </x:c>
      <x:c r="F27" s="40" t="str">
        <x:v>8df9fcc990f15600f0b99316602d1d6adfad43f85a2b0203ae14aad44ad4b1aa</x:v>
      </x:c>
      <x:c r="G27" s="40" t="str">
        <x:v>89506fdd1b60dcacf9184a9fc61f1dab567cf4fa9ac8d14e49045147acf12f02</x:v>
      </x:c>
      <x:c r="H27" s="36" t="str">
        <x:v>0.1</x:v>
      </x:c>
      <x:c r="I27" s="36" t="str">
        <x:v>9.9999999999999995e-08</x:v>
      </x:c>
      <x:c r="J27" s="36" t="str">
        <x:v>1.9999999999999999e-06</x:v>
      </x:c>
      <x:c r="K27" s="40" t="str">
        <x:v>0ce1101199a0faa3af2e0faf2797504098347d0024dcdf7c0fd13f93ea56db90</x:v>
      </x:c>
      <x:c r="L27" s="40" t="str">
        <x:v>8f7e991d824536b8b089147e2196ca0746314c34a9f32845f639ce64c2f26c07</x:v>
      </x:c>
      <x:c r="M27" s="40" t="str">
        <x:v>raw/mstore_inorganic_cli/k333/XVII/result.json</x:v>
      </x:c>
      <x:c r="N27" s="36" t="str">
        <x:v>PASS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2" hidden="0" customWidth="1"/>
    <x:col min="3" max="3" width="13.25" hidden="0" customWidth="1"/>
    <x:col min="4" max="4" width="32" hidden="0" customWidth="1"/>
  </x:cols>
  <x:sheetData>
    <x:row r="1" ht="34" hidden="0" customHeight="1">
      <x:c r="A1" s="39" t="str">
        <x:v>phase</x:v>
      </x:c>
      <x:c r="B1" s="39" t="str">
        <x:v>reference_relative_energy_kJmol_per_H2O</x:v>
      </x:c>
      <x:c r="C1" s="39" t="str">
        <x:v>reference_phase</x:v>
      </x:c>
      <x:c r="D1" s="39" t="str">
        <x:v>citation</x:v>
      </x:c>
    </x:row>
    <x:row r="2" ht="15" hidden="0" customHeight="1">
      <x:c r="A2" s="36" t="str">
        <x:v>Ih</x:v>
      </x:c>
      <x:c r="B2" s="36" t="str">
        <x:v>0.000000</x:v>
      </x:c>
      <x:c r="C2" s="36" t="str">
        <x:v>Ih</x:v>
      </x:c>
      <x:c r="D2" s="36" t="str">
        <x:v>Della Pia, Zen, Alfe, and Michaelides, J. Chem. Phys. 157, 134701 (2022)</x:v>
      </x:c>
    </x:row>
    <x:row r="3" ht="15" hidden="0" customHeight="1">
      <x:c r="A3" s="36" t="str">
        <x:v>II</x:v>
      </x:c>
      <x:c r="B3" s="36" t="str">
        <x:v>0.310000</x:v>
      </x:c>
      <x:c r="C3" s="36" t="str">
        <x:v>Ih</x:v>
      </x:c>
      <x:c r="D3" s="36" t="str">
        <x:v>Della Pia, Zen, Alfe, and Michaelides, J. Chem. Phys. 157, 134701 (2022)</x:v>
      </x:c>
    </x:row>
    <x:row r="4" ht="15" hidden="0" customHeight="1">
      <x:c r="A4" s="36" t="str">
        <x:v>III</x:v>
      </x:c>
      <x:c r="B4" s="36" t="str">
        <x:v>1.250000</x:v>
      </x:c>
      <x:c r="C4" s="36" t="str">
        <x:v>Ih</x:v>
      </x:c>
      <x:c r="D4" s="36" t="str">
        <x:v>Della Pia, Zen, Alfe, and Michaelides, J. Chem. Phys. 157, 134701 (2022)</x:v>
      </x:c>
    </x:row>
    <x:row r="5" ht="15" hidden="0" customHeight="1">
      <x:c r="A5" s="36" t="str">
        <x:v>IV</x:v>
      </x:c>
      <x:c r="B5" s="36" t="str">
        <x:v>3.830000</x:v>
      </x:c>
      <x:c r="C5" s="36" t="str">
        <x:v>Ih</x:v>
      </x:c>
      <x:c r="D5" s="36" t="str">
        <x:v>Della Pia, Zen, Alfe, and Michaelides, J. Chem. Phys. 157, 134701 (2022)</x:v>
      </x:c>
    </x:row>
    <x:row r="6" ht="15" hidden="0" customHeight="1">
      <x:c r="A6" s="36" t="str">
        <x:v>VI</x:v>
      </x:c>
      <x:c r="B6" s="36" t="str">
        <x:v>1.780000</x:v>
      </x:c>
      <x:c r="C6" s="36" t="str">
        <x:v>Ih</x:v>
      </x:c>
      <x:c r="D6" s="36" t="str">
        <x:v>Della Pia, Zen, Alfe, and Michaelides, J. Chem. Phys. 157, 134701 (2022)</x:v>
      </x:c>
    </x:row>
    <x:row r="7" ht="15" hidden="0" customHeight="1">
      <x:c r="A7" s="36" t="str">
        <x:v>VII</x:v>
      </x:c>
      <x:c r="B7" s="36" t="str">
        <x:v>4.990000</x:v>
      </x:c>
      <x:c r="C7" s="36" t="str">
        <x:v>Ih</x:v>
      </x:c>
      <x:c r="D7" s="36" t="str">
        <x:v>Della Pia, Zen, Alfe, and Michaelides, J. Chem. Phys. 157, 134701 (2022)</x:v>
      </x:c>
    </x:row>
    <x:row r="8" ht="15" hidden="0" customHeight="1">
      <x:c r="A8" s="36" t="str">
        <x:v>VIII</x:v>
      </x:c>
      <x:c r="B8" s="36" t="str">
        <x:v>4.230000</x:v>
      </x:c>
      <x:c r="C8" s="36" t="str">
        <x:v>Ih</x:v>
      </x:c>
      <x:c r="D8" s="36" t="str">
        <x:v>Della Pia, Zen, Alfe, and Michaelides, J. Chem. Phys. 157, 134701 (2022)</x:v>
      </x:c>
    </x:row>
    <x:row r="9" ht="15" hidden="0" customHeight="1">
      <x:c r="A9" s="36" t="str">
        <x:v>IX</x:v>
      </x:c>
      <x:c r="B9" s="36" t="str">
        <x:v>0.600000</x:v>
      </x:c>
      <x:c r="C9" s="36" t="str">
        <x:v>Ih</x:v>
      </x:c>
      <x:c r="D9" s="36" t="str">
        <x:v>Della Pia, Zen, Alfe, and Michaelides, J. Chem. Phys. 157, 134701 (2022)</x:v>
      </x:c>
    </x:row>
    <x:row r="10" ht="15" hidden="0" customHeight="1">
      <x:c r="A10" s="36" t="str">
        <x:v>XI</x:v>
      </x:c>
      <x:c r="B10" s="36" t="str">
        <x:v>0.160000</x:v>
      </x:c>
      <x:c r="C10" s="36" t="str">
        <x:v>Ih</x:v>
      </x:c>
      <x:c r="D10" s="36" t="str">
        <x:v>Della Pia, Zen, Alfe, and Michaelides, J. Chem. Phys. 157, 134701 (2022)</x:v>
      </x:c>
    </x:row>
    <x:row r="11" ht="15" hidden="0" customHeight="1">
      <x:c r="A11" s="36" t="str">
        <x:v>XIII</x:v>
      </x:c>
      <x:c r="B11" s="36" t="str">
        <x:v>2.120000</x:v>
      </x:c>
      <x:c r="C11" s="36" t="str">
        <x:v>Ih</x:v>
      </x:c>
      <x:c r="D11" s="36" t="str">
        <x:v>Della Pia, Zen, Alfe, and Michaelides, J. Chem. Phys. 157, 134701 (2022)</x:v>
      </x:c>
    </x:row>
    <x:row r="12" ht="15" hidden="0" customHeight="1">
      <x:c r="A12" s="36" t="str">
        <x:v>XIV</x:v>
      </x:c>
      <x:c r="B12" s="36" t="str">
        <x:v>1.700000</x:v>
      </x:c>
      <x:c r="C12" s="36" t="str">
        <x:v>Ih</x:v>
      </x:c>
      <x:c r="D12" s="36" t="str">
        <x:v>Della Pia, Zen, Alfe, and Michaelides, J. Chem. Phys. 157, 134701 (2022)</x:v>
      </x:c>
    </x:row>
    <x:row r="13" ht="15" hidden="0" customHeight="1">
      <x:c r="A13" s="36" t="str">
        <x:v>XV</x:v>
      </x:c>
      <x:c r="B13" s="36" t="str">
        <x:v>1.740000</x:v>
      </x:c>
      <x:c r="C13" s="36" t="str">
        <x:v>Ih</x:v>
      </x:c>
      <x:c r="D13" s="36" t="str">
        <x:v>Della Pia, Zen, Alfe, and Michaelides, J. Chem. Phys. 157, 134701 (2022)</x:v>
      </x:c>
    </x:row>
    <x:row r="14" ht="15" hidden="0" customHeight="1">
      <x:c r="A14" s="36" t="str">
        <x:v>XVII</x:v>
      </x:c>
      <x:c r="B14" s="36" t="str">
        <x:v>1.750000</x:v>
      </x:c>
      <x:c r="C14" s="36" t="str">
        <x:v>Ih</x:v>
      </x:c>
      <x:c r="D14" s="36" t="str">
        <x:v>Della Pia, Zen, Alfe, and Michaelides, J. Chem. Phys. 157, 134701 (2022)</x:v>
      </x:c>
    </x:row>
  </x:sheetData>
  <x:pageMargins left="0.7" right="0.7" top="0.75" bottom="0.75" header="0.3" footer="0.3"/>
</x:worksheet>
</file>